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bord" sheetId="1" state="visible" r:id="rId3"/>
    <sheet name="Paramètres" sheetId="2" state="visible" r:id="rId4"/>
    <sheet name="Dépenses" sheetId="3" state="visible" r:id="rId5"/>
    <sheet name="Charges" sheetId="4" state="visible" r:id="rId6"/>
    <sheet name="Épargne" sheetId="5" state="visible" r:id="rId7"/>
    <sheet name="Mois" sheetId="6" state="visible" r:id="rId8"/>
    <sheet name="Comparer" sheetId="7" state="visible" r:id="rId9"/>
    <sheet name="Mode d’emploi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Vide = pas encore reçu : l’estimation (colonne H) est utilisée et marquée « ≈ estimé ».</t>
        </r>
      </text>
    </comment>
    <comment ref="N4" authorId="0">
      <text>
        <r>
          <rPr>
            <sz val="10"/>
            <rFont val="Arial"/>
            <family val="2"/>
          </rPr>
          <t xml:space="preserve">Mois terminé : épargne réellement versée. Mois en cours ou futur : le plus grand entre prévue et versée (réservée dans le budget).</t>
        </r>
      </text>
    </comment>
  </commentList>
</comments>
</file>

<file path=xl/sharedStrings.xml><?xml version="1.0" encoding="utf-8"?>
<sst xmlns="http://schemas.openxmlformats.org/spreadsheetml/2006/main" count="213" uniqueCount="142">
  <si>
    <t xml:space="preserve">Ma Paie</t>
  </si>
  <si>
    <t xml:space="preserve">Choisis le mois en B3. Tout le reste se calcule.</t>
  </si>
  <si>
    <t xml:space="preserve">Mois affiché</t>
  </si>
  <si>
    <t xml:space="preserve">2026-10</t>
  </si>
  <si>
    <t xml:space="preserve">Alertes</t>
  </si>
  <si>
    <t xml:space="preserve">Dépenses du mois par catégorie</t>
  </si>
  <si>
    <t xml:space="preserve">Catégorie</t>
  </si>
  <si>
    <t xml:space="preserve">Montant</t>
  </si>
  <si>
    <t xml:space="preserve">Comment le reste à vivre est calculé</t>
  </si>
  <si>
    <t xml:space="preserve">Salaire du mois</t>
  </si>
  <si>
    <t xml:space="preserve">− Charges fixes</t>
  </si>
  <si>
    <t xml:space="preserve">     dont encore à payer</t>
  </si>
  <si>
    <t xml:space="preserve">− Épargne du mois</t>
  </si>
  <si>
    <t xml:space="preserve">     dont déjà versée</t>
  </si>
  <si>
    <t xml:space="preserve">→ Budget pour vivre</t>
  </si>
  <si>
    <t xml:space="preserve">Épargne</t>
  </si>
  <si>
    <t xml:space="preserve">− Dépenses déjà faites</t>
  </si>
  <si>
    <t xml:space="preserve">Épargne totale</t>
  </si>
  <si>
    <t xml:space="preserve">− Dépenses prévues</t>
  </si>
  <si>
    <t xml:space="preserve">Affectée aux objectifs</t>
  </si>
  <si>
    <t xml:space="preserve">→ Reste à vivre</t>
  </si>
  <si>
    <t xml:space="preserve">Libre</t>
  </si>
  <si>
    <t xml:space="preserve">Par jour conseillé</t>
  </si>
  <si>
    <t xml:space="preserve">Uniquement pour le mois en cours, aujourd’hui compris.</t>
  </si>
  <si>
    <t xml:space="preserve">Paramètres</t>
  </si>
  <si>
    <t xml:space="preserve">Texte bleu = valeur à saisir. Texte noir = calcul automatique.</t>
  </si>
  <si>
    <t xml:space="preserve">Mois en cours (automatique)</t>
  </si>
  <si>
    <t xml:space="preserve">Calculé à partir de la date du jour.</t>
  </si>
  <si>
    <t xml:space="preserve">Épargne déjà constituée avant le suivi</t>
  </si>
  <si>
    <t xml:space="preserve">Saisie par toi. Compte dans l’épargne totale.</t>
  </si>
  <si>
    <t xml:space="preserve">Objectif d’épargne par mois</t>
  </si>
  <si>
    <t xml:space="preserve">Valeur par défaut des nouveaux mois.</t>
  </si>
  <si>
    <t xml:space="preserve">Début de l’épargne (AAAA-MM)</t>
  </si>
  <si>
    <t xml:space="preserve">2026-11</t>
  </si>
  <si>
    <t xml:space="preserve">Texte au format 2026-11.</t>
  </si>
  <si>
    <t xml:space="preserve">— Paie (fiche de septembre 2026, à vérifier) —</t>
  </si>
  <si>
    <t xml:space="preserve">Salaire de base brut</t>
  </si>
  <si>
    <t xml:space="preserve">Fiche de paie de septembre 2026.</t>
  </si>
  <si>
    <t xml:space="preserve">Part soumise du panier / jour</t>
  </si>
  <si>
    <t xml:space="preserve">Fiche de septembre 2026 — à confirmer.</t>
  </si>
  <si>
    <t xml:space="preserve">Indemnité de trajet / jour</t>
  </si>
  <si>
    <t xml:space="preserve">Panier non soumis / jour</t>
  </si>
  <si>
    <t xml:space="preserve">Ajouté au net, sans cotisations.</t>
  </si>
  <si>
    <t xml:space="preserve">Taux horaire de retenue d’absence</t>
  </si>
  <si>
    <t xml:space="preserve">Différent de base ÷ 151,67 h (9,848 €/h) : à vérifier.</t>
  </si>
  <si>
    <t xml:space="preserve">Heures par jour d’absence</t>
  </si>
  <si>
    <t xml:space="preserve">Cotisations de référence</t>
  </si>
  <si>
    <t xml:space="preserve">Pour le brut de référence ci-dessous.</t>
  </si>
  <si>
    <t xml:space="preserve">Brut de référence</t>
  </si>
  <si>
    <t xml:space="preserve">Plus bas que le salaire de base : absence ou prorata en septembre ? À confirmer.</t>
  </si>
  <si>
    <t xml:space="preserve">Taux marginal de cotisations</t>
  </si>
  <si>
    <t xml:space="preserve">Approximation linéaire (les exonérations apprentis ne sont pas linéaires).</t>
  </si>
  <si>
    <t xml:space="preserve">Catégories de dépenses</t>
  </si>
  <si>
    <t xml:space="preserve">Budget / mois</t>
  </si>
  <si>
    <t xml:space="preserve">Transport</t>
  </si>
  <si>
    <t xml:space="preserve">Courses</t>
  </si>
  <si>
    <t xml:space="preserve">Restaurants</t>
  </si>
  <si>
    <t xml:space="preserve">Divertissement</t>
  </si>
  <si>
    <t xml:space="preserve">Achats</t>
  </si>
  <si>
    <t xml:space="preserve">Argent de poche</t>
  </si>
  <si>
    <t xml:space="preserve">Santé</t>
  </si>
  <si>
    <t xml:space="preserve">Général</t>
  </si>
  <si>
    <t xml:space="preserve">(lignes libres jusqu’à la ligne 37 pour ajouter des catégories)</t>
  </si>
  <si>
    <t xml:space="preserve">Dépenses</t>
  </si>
  <si>
    <t xml:space="preserve">Une ligne par dépense. Une date future = dépense prévue (pas encore payée).</t>
  </si>
  <si>
    <t xml:space="preserve">Date</t>
  </si>
  <si>
    <t xml:space="preserve">Détail</t>
  </si>
  <si>
    <t xml:space="preserve">Mois</t>
  </si>
  <si>
    <t xml:space="preserve">Statut</t>
  </si>
  <si>
    <t xml:space="preserve">Supermarché</t>
  </si>
  <si>
    <t xml:space="preserve">Plein</t>
  </si>
  <si>
    <t xml:space="preserve">Midi</t>
  </si>
  <si>
    <t xml:space="preserve">Anniversaire</t>
  </si>
  <si>
    <t xml:space="preserve">Cadeau (prévu)</t>
  </si>
  <si>
    <t xml:space="preserve">Charges fixes</t>
  </si>
  <si>
    <t xml:space="preserve">Une ligne par charge et par mois. « Payée » = Oui quand elle est prélevée.</t>
  </si>
  <si>
    <t xml:space="preserve">Charge</t>
  </si>
  <si>
    <t xml:space="preserve">Jour</t>
  </si>
  <si>
    <t xml:space="preserve">Payée</t>
  </si>
  <si>
    <t xml:space="preserve">2026-09</t>
  </si>
  <si>
    <t xml:space="preserve">Loyer</t>
  </si>
  <si>
    <t xml:space="preserve">Oui</t>
  </si>
  <si>
    <t xml:space="preserve">Forfait téléphone</t>
  </si>
  <si>
    <t xml:space="preserve">Non</t>
  </si>
  <si>
    <t xml:space="preserve">2026-12</t>
  </si>
  <si>
    <t xml:space="preserve">2027-01</t>
  </si>
  <si>
    <t xml:space="preserve">2027-02</t>
  </si>
  <si>
    <t xml:space="preserve">Totale = départ + versements − argent utilisé. Affectée = part réservée aux objectifs (pas de l’argent en plus). Libre = le reste.</t>
  </si>
  <si>
    <t xml:space="preserve">Épargne libre</t>
  </si>
  <si>
    <t xml:space="preserve">Versements</t>
  </si>
  <si>
    <t xml:space="preserve">Argent utilisé (retraits)</t>
  </si>
  <si>
    <t xml:space="preserve">Objectifs</t>
  </si>
  <si>
    <t xml:space="preserve">Mouvements des objectifs (+ affecter / − retirer)</t>
  </si>
  <si>
    <t xml:space="preserve">Motif</t>
  </si>
  <si>
    <t xml:space="preserve">Objectif</t>
  </si>
  <si>
    <t xml:space="preserve">Cible</t>
  </si>
  <si>
    <t xml:space="preserve">Affecté</t>
  </si>
  <si>
    <t xml:space="preserve">Restant</t>
  </si>
  <si>
    <t xml:space="preserve">%</t>
  </si>
  <si>
    <t xml:space="preserve">Date limite</t>
  </si>
  <si>
    <t xml:space="preserve">État</t>
  </si>
  <si>
    <t xml:space="preserve">Note</t>
  </si>
  <si>
    <t xml:space="preserve">Permis de conduire</t>
  </si>
  <si>
    <t xml:space="preserve">Déjà économisé au départ</t>
  </si>
  <si>
    <t xml:space="preserve">Vacances</t>
  </si>
  <si>
    <t xml:space="preserve">Une ligne par mois. Saisis le net reçu dès la paie : il remplace l’estimation.</t>
  </si>
  <si>
    <t xml:space="preserve">Net reçu</t>
  </si>
  <si>
    <t xml:space="preserve">Jours entreprise</t>
  </si>
  <si>
    <t xml:space="preserve">Jours absence</t>
  </si>
  <si>
    <t xml:space="preserve">Épargne prévue</t>
  </si>
  <si>
    <t xml:space="preserve">Brut estimé</t>
  </si>
  <si>
    <t xml:space="preserve">Cotisations estimées</t>
  </si>
  <si>
    <t xml:space="preserve">Net estimé</t>
  </si>
  <si>
    <t xml:space="preserve">Net retenu</t>
  </si>
  <si>
    <t xml:space="preserve">Salaire</t>
  </si>
  <si>
    <t xml:space="preserve">Charges</t>
  </si>
  <si>
    <t xml:space="preserve">Charges payées</t>
  </si>
  <si>
    <t xml:space="preserve">Épargne versée</t>
  </si>
  <si>
    <t xml:space="preserve">Épargne retenue</t>
  </si>
  <si>
    <t xml:space="preserve">Dépenses faites</t>
  </si>
  <si>
    <t xml:space="preserve">Reste à vivre</t>
  </si>
  <si>
    <t xml:space="preserve">Comparer deux mois</t>
  </si>
  <si>
    <t xml:space="preserve">Écart = B − A. Une baisse des dépenses n’est pas forcément une amélioration (mois incomplet, oubli de saisie…).</t>
  </si>
  <si>
    <t xml:space="preserve">Mois A</t>
  </si>
  <si>
    <t xml:space="preserve">Mois B</t>
  </si>
  <si>
    <t xml:space="preserve">A</t>
  </si>
  <si>
    <t xml:space="preserve">B</t>
  </si>
  <si>
    <t xml:space="preserve">Écart (B − A)</t>
  </si>
  <si>
    <t xml:space="preserve">Variation</t>
  </si>
  <si>
    <t xml:space="preserve">Dépenses par catégorie</t>
  </si>
  <si>
    <t xml:space="preserve">Mode d’emploi</t>
  </si>
  <si>
    <t xml:space="preserve">Les chiffres déjà présents sont des exemples : remplace-les par les tiens.</t>
  </si>
  <si>
    <t xml:space="preserve">Texte BLEU = à saisir. Texte NOIR = calculé. Texte VERT = repris d’un autre onglet. Case JAUNE = sélecteur à changer.</t>
  </si>
  <si>
    <t xml:space="preserve">1. Paramètres : ton épargne de départ, ton objectif mensuel, tes catégories et leurs budgets. Les valeurs de paie viennent de la fiche de septembre 2026 et restent à vérifier.</t>
  </si>
  <si>
    <t xml:space="preserve">2. Mois : une ligne par mois (format 2026-10). Saisis le « Net reçu » dès la paie ; vide = estimation marquée « ≈ estimé ».</t>
  </si>
  <si>
    <t xml:space="preserve">3. Charges : une ligne par charge et par mois. Mets « Oui » dans « Payée » quand elle est prélevée.</t>
  </si>
  <si>
    <t xml:space="preserve">4. Dépenses : date, montant, catégorie. Une date future = dépense prévue (surlignée en orange), déjà déduite du reste à vivre.</t>
  </si>
  <si>
    <t xml:space="preserve">5. Épargne : note chaque virement dans « Versements ». Pour affecter de l’argent à un objectif, ajoute un mouvement (+) ; pour en retirer, un mouvement (−).</t>
  </si>
  <si>
    <t xml:space="preserve">   L’argent affecté fait partie de l’épargne totale : il n’est jamais compté deux fois. Si l’épargne libre devient négative, un message rouge le signale.</t>
  </si>
  <si>
    <t xml:space="preserve">6. Tableau de bord : choisis le mois en B3. Comparer : choisis deux mois en B4 et B5.</t>
  </si>
  <si>
    <t xml:space="preserve">Règles de calcul (identiques à l’application Ma Paie) : reste à vivre = salaire − charges − épargne retenue − toutes les dépenses du mois (faites et prévues).</t>
  </si>
  <si>
    <t xml:space="preserve">Épargne retenue : mois terminé = épargne versée ; mois en cours ou à venir = le plus grand entre prévue et versée.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</si>
</sst>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&quot; €&quot;;\-#,##0.00&quot; €&quot;;\-"/>
    <numFmt numFmtId="166" formatCode="@"/>
    <numFmt numFmtId="167" formatCode="0.000&quot; €/h&quot;"/>
    <numFmt numFmtId="168" formatCode="0"/>
    <numFmt numFmtId="169" formatCode="0.0%"/>
    <numFmt numFmtId="170" formatCode="dd/mm/yyyy"/>
    <numFmt numFmtId="171" formatCode="0%"/>
    <numFmt numFmtId="172" formatCode="0.0"/>
    <numFmt numFmtId="173" formatCode="\+#,##0.00&quot; €&quot;;\-#,##0.00&quot; €&quot;;\="/>
    <numFmt numFmtId="174" formatCode="\+0%;\-0%;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27A55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667085"/>
      <name val="Arial"/>
      <family val="0"/>
      <charset val="1"/>
    </font>
    <font>
      <b val="true"/>
      <sz val="11"/>
      <color rgb="FF121826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b val="true"/>
      <sz val="11"/>
      <color rgb="FF667085"/>
      <name val="Arial"/>
      <family val="0"/>
      <charset val="1"/>
    </font>
    <font>
      <b val="true"/>
      <sz val="12"/>
      <color rgb="FF121826"/>
      <name val="Arial"/>
      <family val="0"/>
      <charset val="1"/>
    </font>
    <font>
      <b val="true"/>
      <sz val="28"/>
      <color rgb="FF127A55"/>
      <name val="Arial"/>
      <family val="0"/>
      <charset val="1"/>
    </font>
    <font>
      <sz val="10"/>
      <color rgb="FF12182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B25E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121826"/>
      <name val="Arial"/>
      <family val="0"/>
      <charset val="1"/>
    </font>
    <font>
      <i val="true"/>
      <sz val="9"/>
      <color rgb="FF667085"/>
      <name val="Arial"/>
      <family val="0"/>
      <charset val="1"/>
    </font>
    <font>
      <sz val="9"/>
      <color rgb="FF667085"/>
      <name val="Arial"/>
      <family val="0"/>
      <charset val="1"/>
    </font>
    <font>
      <b val="true"/>
      <sz val="11"/>
      <color rgb="FF127A55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121826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color rgb="FF121826"/>
      <name val="Arial"/>
      <family val="0"/>
      <charset val="1"/>
    </font>
    <font>
      <sz val="11"/>
      <color rgb="FF667085"/>
      <name val="Arial"/>
      <family val="0"/>
      <charset val="1"/>
    </font>
    <font>
      <b val="true"/>
      <sz val="14"/>
      <color rgb="FF121826"/>
      <name val="Arial"/>
      <family val="0"/>
      <charset val="1"/>
    </font>
    <font>
      <b val="true"/>
      <sz val="11"/>
      <color rgb="FFD92D3A"/>
      <name val="Arial"/>
      <family val="0"/>
      <charset val="1"/>
    </font>
    <font>
      <sz val="10"/>
      <name val="Arial"/>
      <family val="2"/>
    </font>
    <font>
      <b val="true"/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27A55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3E8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D92D3A"/>
        <sz val="28"/>
      </font>
    </dxf>
    <dxf>
      <font>
        <name val="Arial"/>
        <charset val="1"/>
        <family val="0"/>
        <b val="1"/>
        <color rgb="FF127A55"/>
      </font>
    </dxf>
    <dxf>
      <fill>
        <patternFill>
          <bgColor rgb="FFFFF1DC"/>
        </patternFill>
      </fill>
    </dxf>
    <dxf>
      <font>
        <name val="Arial"/>
        <charset val="1"/>
        <family val="0"/>
        <b val="1"/>
        <color rgb="FFD92D3A"/>
      </font>
    </dxf>
    <dxf>
      <fill>
        <patternFill>
          <bgColor rgb="FFE2F3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A55"/>
      <rgbColor rgb="FFC0C0C0"/>
      <rgbColor rgb="FF878787"/>
      <rgbColor rgb="FF93A9CE"/>
      <rgbColor rgb="FFAB4744"/>
      <rgbColor rgb="FFFFF1DC"/>
      <rgbColor rgb="FFE2F3EB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E3E8EF"/>
      <rgbColor rgb="FFCCFFCC"/>
      <rgbColor rgb="FFFFFF99"/>
      <rgbColor rgb="FF99CCFF"/>
      <rgbColor rgb="FFD09493"/>
      <rgbColor rgb="FFCC99FF"/>
      <rgbColor rgb="FFFFCC99"/>
      <rgbColor rgb="FF2F6FED"/>
      <rgbColor rgb="FF33CCCC"/>
      <rgbColor rgb="FF99CC00"/>
      <rgbColor rgb="FFFFCC00"/>
      <rgbColor rgb="FFFF9900"/>
      <rgbColor rgb="FFFF6600"/>
      <rgbColor rgb="FF667085"/>
      <rgbColor rgb="FF8AA64F"/>
      <rgbColor rgb="FF003366"/>
      <rgbColor rgb="FF4299B0"/>
      <rgbColor rgb="FF121826"/>
      <rgbColor rgb="FF333300"/>
      <rgbColor rgb="FFB25E00"/>
      <rgbColor rgb="FFD92D3A"/>
      <rgbColor rgb="FF7259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Dépenses et reste à vivre par mois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Mois!O4</c:f>
              <c:strCache>
                <c:ptCount val="1"/>
                <c:pt idx="0">
                  <c:v>Dépenses</c:v>
                </c:pt>
              </c:strCache>
            </c:strRef>
          </c:tx>
          <c:spPr>
            <a:solidFill>
              <a:srgbClr val="2f6fe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Mois!$A$5:$A$10</c:f>
              <c:strCache>
                <c:ptCount val="6"/>
                <c:pt idx="0">
                  <c:v>2026-09</c:v>
                </c:pt>
                <c:pt idx="1">
                  <c:v>2026-10</c:v>
                </c:pt>
                <c:pt idx="2">
                  <c:v>2026-11</c:v>
                </c:pt>
                <c:pt idx="3">
                  <c:v>2026-12</c:v>
                </c:pt>
                <c:pt idx="4">
                  <c:v>2027-01</c:v>
                </c:pt>
                <c:pt idx="5">
                  <c:v>2027-02</c:v>
                </c:pt>
              </c:strCache>
            </c:strRef>
          </c:cat>
          <c:val>
            <c:numRef>
              <c:f>Mois!$O$5:$O$10</c:f>
              <c:numCache>
                <c:formatCode>#,##0.00" €";\-#,##0.00" €";\-</c:formatCode>
                <c:ptCount val="6"/>
                <c:pt idx="0">
                  <c:v>95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Mois!Q4</c:f>
              <c:strCache>
                <c:ptCount val="1"/>
                <c:pt idx="0">
                  <c:v>Reste à vivre</c:v>
                </c:pt>
              </c:strCache>
            </c:strRef>
          </c:tx>
          <c:spPr>
            <a:solidFill>
              <a:srgbClr val="127a5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Mois!$A$5:$A$10</c:f>
              <c:strCache>
                <c:ptCount val="6"/>
                <c:pt idx="0">
                  <c:v>2026-09</c:v>
                </c:pt>
                <c:pt idx="1">
                  <c:v>2026-10</c:v>
                </c:pt>
                <c:pt idx="2">
                  <c:v>2026-11</c:v>
                </c:pt>
                <c:pt idx="3">
                  <c:v>2026-12</c:v>
                </c:pt>
                <c:pt idx="4">
                  <c:v>2027-01</c:v>
                </c:pt>
                <c:pt idx="5">
                  <c:v>2027-02</c:v>
                </c:pt>
              </c:strCache>
            </c:strRef>
          </c:cat>
          <c:val>
            <c:numRef>
              <c:f>Mois!$Q$5:$Q$10</c:f>
              <c:numCache>
                <c:formatCode>#,##0.00" €";\-#,##0.00" €";\-</c:formatCode>
                <c:ptCount val="6"/>
                <c:pt idx="0">
                  <c:v>835</c:v>
                </c:pt>
                <c:pt idx="1">
                  <c:v>764.97</c:v>
                </c:pt>
                <c:pt idx="2">
                  <c:v>724.97</c:v>
                </c:pt>
                <c:pt idx="3">
                  <c:v>1024.97</c:v>
                </c:pt>
                <c:pt idx="4">
                  <c:v>724.97</c:v>
                </c:pt>
                <c:pt idx="5">
                  <c:v>724.97</c:v>
                </c:pt>
              </c:numCache>
            </c:numRef>
          </c:val>
        </c:ser>
        <c:gapWidth val="150"/>
        <c:overlap val="0"/>
        <c:axId val="20107682"/>
        <c:axId val="77488642"/>
      </c:barChart>
      <c:catAx>
        <c:axId val="201076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88642"/>
        <c:crosses val="autoZero"/>
        <c:auto val="1"/>
        <c:lblAlgn val="ctr"/>
        <c:lblOffset val="100"/>
        <c:noMultiLvlLbl val="0"/>
      </c:catAx>
      <c:valAx>
        <c:axId val="774886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;\-#,##0.00&quot; €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1076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du mois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'Tableau de bord'!H6</c:f>
              <c:strCache>
                <c:ptCount val="1"/>
                <c:pt idx="0">
                  <c:v>Montant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'Tableau de bord'!$G$7:$G$14</c:f>
              <c:strCache>
                <c:ptCount val="8"/>
                <c:pt idx="0">
                  <c:v>Transport</c:v>
                </c:pt>
                <c:pt idx="1">
                  <c:v>Courses</c:v>
                </c:pt>
                <c:pt idx="2">
                  <c:v>Restaurants</c:v>
                </c:pt>
                <c:pt idx="3">
                  <c:v>Divertissement</c:v>
                </c:pt>
                <c:pt idx="4">
                  <c:v>Achats</c:v>
                </c:pt>
                <c:pt idx="5">
                  <c:v>Argent de poche</c:v>
                </c:pt>
                <c:pt idx="6">
                  <c:v>Santé</c:v>
                </c:pt>
                <c:pt idx="7">
                  <c:v>Général</c:v>
                </c:pt>
              </c:strCache>
            </c:strRef>
          </c:cat>
          <c:val>
            <c:numRef>
              <c:f>'Tableau de bord'!$H$7:$H$14</c:f>
              <c:numCache>
                <c:formatCode>#,##0.00" €";\-#,##0.00" €";\-</c:formatCode>
                <c:ptCount val="8"/>
                <c:pt idx="0">
                  <c:v>0</c:v>
                </c:pt>
                <c:pt idx="1">
                  <c:v>50</c:v>
                </c:pt>
                <c:pt idx="2">
                  <c:v>30</c:v>
                </c:pt>
                <c:pt idx="3">
                  <c:v>0</c:v>
                </c:pt>
                <c:pt idx="4">
                  <c:v>80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Mois A et mois 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Comparer!B7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2f6fe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Comparer!$A$8:$A$12</c:f>
              <c:strCache>
                <c:ptCount val="5"/>
                <c:pt idx="0">
                  <c:v>Salaire</c:v>
                </c:pt>
                <c:pt idx="1">
                  <c:v>Charges fixes</c:v>
                </c:pt>
                <c:pt idx="2">
                  <c:v>Dépenses</c:v>
                </c:pt>
                <c:pt idx="3">
                  <c:v>Épargne versée</c:v>
                </c:pt>
                <c:pt idx="4">
                  <c:v>Reste à vivre</c:v>
                </c:pt>
              </c:strCache>
            </c:strRef>
          </c:cat>
          <c:val>
            <c:numRef>
              <c:f>Comparer!$B$8:$B$12</c:f>
              <c:numCache>
                <c:formatCode>#,##0.00" €";\-#,##0.00" €";\-</c:formatCode>
                <c:ptCount val="5"/>
                <c:pt idx="0">
                  <c:v>1400</c:v>
                </c:pt>
                <c:pt idx="1">
                  <c:v>470</c:v>
                </c:pt>
                <c:pt idx="2">
                  <c:v>95</c:v>
                </c:pt>
                <c:pt idx="3">
                  <c:v>0</c:v>
                </c:pt>
                <c:pt idx="4">
                  <c:v>835</c:v>
                </c:pt>
              </c:numCache>
            </c:numRef>
          </c:val>
        </c:ser>
        <c:ser>
          <c:idx val="1"/>
          <c:order val="1"/>
          <c:tx>
            <c:strRef>
              <c:f>Comparer!C7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127a5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Comparer!$A$8:$A$12</c:f>
              <c:strCache>
                <c:ptCount val="5"/>
                <c:pt idx="0">
                  <c:v>Salaire</c:v>
                </c:pt>
                <c:pt idx="1">
                  <c:v>Charges fixes</c:v>
                </c:pt>
                <c:pt idx="2">
                  <c:v>Dépenses</c:v>
                </c:pt>
                <c:pt idx="3">
                  <c:v>Épargne versée</c:v>
                </c:pt>
                <c:pt idx="4">
                  <c:v>Reste à vivre</c:v>
                </c:pt>
              </c:strCache>
            </c:strRef>
          </c:cat>
          <c:val>
            <c:numRef>
              <c:f>Comparer!$C$8:$C$12</c:f>
              <c:numCache>
                <c:formatCode>#,##0.00" €";\-#,##0.00" €";\-</c:formatCode>
                <c:ptCount val="5"/>
                <c:pt idx="0">
                  <c:v>1494.97</c:v>
                </c:pt>
                <c:pt idx="1">
                  <c:v>470</c:v>
                </c:pt>
                <c:pt idx="2">
                  <c:v>160</c:v>
                </c:pt>
                <c:pt idx="3">
                  <c:v>100</c:v>
                </c:pt>
                <c:pt idx="4">
                  <c:v>764.97</c:v>
                </c:pt>
              </c:numCache>
            </c:numRef>
          </c:val>
        </c:ser>
        <c:gapWidth val="150"/>
        <c:overlap val="0"/>
        <c:axId val="52163493"/>
        <c:axId val="64056791"/>
      </c:barChart>
      <c:catAx>
        <c:axId val="521634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056791"/>
        <c:crosses val="autoZero"/>
        <c:auto val="1"/>
        <c:lblAlgn val="ctr"/>
        <c:lblOffset val="100"/>
        <c:noMultiLvlLbl val="0"/>
      </c:catAx>
      <c:valAx>
        <c:axId val="640567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;\-#,##0.00&quot; €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634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26280</xdr:rowOff>
    </xdr:from>
    <xdr:to>
      <xdr:col>3</xdr:col>
      <xdr:colOff>2172600</xdr:colOff>
      <xdr:row>34</xdr:row>
      <xdr:rowOff>58680</xdr:rowOff>
    </xdr:to>
    <xdr:graphicFrame>
      <xdr:nvGraphicFramePr>
        <xdr:cNvPr id="0" name="Chart 1"/>
        <xdr:cNvGraphicFramePr/>
      </xdr:nvGraphicFramePr>
      <xdr:xfrm>
        <a:off x="0" y="419112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22</xdr:row>
      <xdr:rowOff>25920</xdr:rowOff>
    </xdr:from>
    <xdr:to>
      <xdr:col>10</xdr:col>
      <xdr:colOff>199080</xdr:colOff>
      <xdr:row>36</xdr:row>
      <xdr:rowOff>58680</xdr:rowOff>
    </xdr:to>
    <xdr:graphicFrame>
      <xdr:nvGraphicFramePr>
        <xdr:cNvPr id="1" name="Chart 2"/>
        <xdr:cNvGraphicFramePr/>
      </xdr:nvGraphicFramePr>
      <xdr:xfrm>
        <a:off x="9867960" y="4572000"/>
        <a:ext cx="39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507600</xdr:colOff>
      <xdr:row>15</xdr:row>
      <xdr:rowOff>43200</xdr:rowOff>
    </xdr:to>
    <xdr:graphicFrame>
      <xdr:nvGraphicFramePr>
        <xdr:cNvPr id="2" name="Chart 1"/>
        <xdr:cNvGraphicFramePr/>
      </xdr:nvGraphicFramePr>
      <xdr:xfrm>
        <a:off x="6955200" y="73332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64"/>
    <col collapsed="false" customWidth="true" hidden="false" outlineLevel="0" max="5" min="5" style="0" width="16"/>
    <col collapsed="false" customWidth="true" hidden="false" outlineLevel="0" max="6" min="6" style="0" width="4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26.8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3" customFormat="false" ht="16.15" hidden="false" customHeight="false" outlineLevel="0" collapsed="false">
      <c r="A3" s="4" t="s">
        <v>2</v>
      </c>
      <c r="B3" s="5" t="s">
        <v>3</v>
      </c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6" t="str">
        <f aca="false">IF(A6&lt;0,"DÉPASSEMENT","RESTE À VIVRE")&amp;IF(INDEX(Mois!$B$5:$B$40,MATCH($B$3,Mois!$A$5:$A$40,0))="","  (théorique : salaire estimé)","")</f>
        <v>RESTE À VIVRE  (théorique : salaire estimé)</v>
      </c>
      <c r="B5" s="2"/>
      <c r="C5" s="2"/>
      <c r="D5" s="7" t="s">
        <v>4</v>
      </c>
      <c r="E5" s="2"/>
      <c r="F5" s="2"/>
      <c r="G5" s="7" t="s">
        <v>5</v>
      </c>
      <c r="H5" s="2"/>
    </row>
    <row r="6" customFormat="false" ht="30" hidden="false" customHeight="true" outlineLevel="0" collapsed="false">
      <c r="A6" s="8" t="n">
        <f aca="false">IFERROR(INDEX(Mois!$Q$5:$Q$40,MATCH($B$3,Mois!$A$5:$A$40,0)),0)</f>
        <v>764.97</v>
      </c>
      <c r="B6" s="8"/>
      <c r="C6" s="2"/>
      <c r="D6" s="9" t="str">
        <f aca="false">IFERROR(IF(B17&lt;0,"🔴 Budget dépassé de "&amp;FIXED(-B17,2)&amp;" € : limite-toi à l’essentiel.",""),"")</f>
        <v/>
      </c>
      <c r="E6" s="2"/>
      <c r="F6" s="2"/>
      <c r="G6" s="10" t="s">
        <v>6</v>
      </c>
      <c r="H6" s="10" t="s">
        <v>7</v>
      </c>
    </row>
    <row r="7" customFormat="false" ht="15" hidden="false" customHeight="false" outlineLevel="0" collapsed="false">
      <c r="A7" s="11" t="str">
        <f aca="false">IFERROR(IF(INDEX(Mois!$B$5:$B$40,MATCH($B$3,Mois!$A$5:$A$40,0))="","≈ Salaire estimé : "&amp;FIXED(INDEX(Mois!$H$5:$H$40,MATCH($B$3,Mois!$A$5:$A$40,0)),2)&amp;" € · pas encore reçu","✓ Salaire reçu : "&amp;FIXED(INDEX(Mois!$B$5:$B$40,MATCH($B$3,Mois!$A$5:$A$40,0)),2)&amp;" €"),"")</f>
        <v>≈ Salaire estimé : 1,494.97 € · pas encore reçu</v>
      </c>
      <c r="B7" s="2"/>
      <c r="C7" s="2"/>
      <c r="D7" s="9" t="str">
        <f aca="false">IFERROR(IF(B14&lt;0,"🔴 Charges + épargne dépassent le salaire : baisse l’épargne du mois.",""),"")</f>
        <v/>
      </c>
      <c r="E7" s="2"/>
      <c r="F7" s="2"/>
      <c r="G7" s="12" t="str">
        <f aca="false">IF(Paramètres!A22="","",Paramètres!A22)</f>
        <v>Transport</v>
      </c>
      <c r="H7" s="13" t="n">
        <f aca="false">IF(G7="","",SUMIFS(Dépenses!$B$5:$B$504,Dépenses!$E$5:$E$504,$B$3,Dépenses!$C$5:$C$504,G7))</f>
        <v>0</v>
      </c>
    </row>
    <row r="8" customFormat="false" ht="15" hidden="false" customHeight="false" outlineLevel="0" collapsed="false">
      <c r="A8" s="7" t="s">
        <v>8</v>
      </c>
      <c r="B8" s="2"/>
      <c r="C8" s="2"/>
      <c r="D8" s="9" t="str">
        <f aca="false">IFERROR(IF(AND(B14&gt;=0,B14&lt;300),"🟠 Budget serré : moins de 300 € pour vivre.",""),"")</f>
        <v/>
      </c>
      <c r="E8" s="2"/>
      <c r="F8" s="2"/>
      <c r="G8" s="12" t="str">
        <f aca="false">IF(Paramètres!A23="","",Paramètres!A23)</f>
        <v>Courses</v>
      </c>
      <c r="H8" s="13" t="n">
        <f aca="false">IF(G8="","",SUMIFS(Dépenses!$B$5:$B$504,Dépenses!$E$5:$E$504,$B$3,Dépenses!$C$5:$C$504,G8))</f>
        <v>50</v>
      </c>
    </row>
    <row r="9" customFormat="false" ht="15" hidden="false" customHeight="false" outlineLevel="0" collapsed="false">
      <c r="A9" s="14" t="s">
        <v>9</v>
      </c>
      <c r="B9" s="15" t="n">
        <f aca="false">IFERROR(INDEX(Mois!$I$5:$I$40,MATCH($B$3,Mois!$A$5:$A$40,0)),0)</f>
        <v>1494.97</v>
      </c>
      <c r="C9" s="2"/>
      <c r="D9" s="9" t="str">
        <f aca="false">IFERROR(IF(INDEX(Mois!$B$5:$B$40,MATCH($B$3,Mois!$A$5:$A$40,0))="","🟠 Salaire non saisi : les montants sont théoriques.",""),"")</f>
        <v>🟠 Salaire non saisi : les montants sont théoriques.</v>
      </c>
      <c r="E9" s="2"/>
      <c r="F9" s="2"/>
      <c r="G9" s="12" t="str">
        <f aca="false">IF(Paramètres!A24="","",Paramètres!A24)</f>
        <v>Restaurants</v>
      </c>
      <c r="H9" s="13" t="n">
        <f aca="false">IF(G9="","",SUMIFS(Dépenses!$B$5:$B$504,Dépenses!$E$5:$E$504,$B$3,Dépenses!$C$5:$C$504,G9))</f>
        <v>30</v>
      </c>
    </row>
    <row r="10" customFormat="false" ht="15" hidden="false" customHeight="false" outlineLevel="0" collapsed="false">
      <c r="A10" s="14" t="s">
        <v>10</v>
      </c>
      <c r="B10" s="15" t="n">
        <f aca="false">IFERROR(-INDEX(Mois!$K$5:$K$40,MATCH($B$3,Mois!$A$5:$A$40,0)),0)</f>
        <v>-470</v>
      </c>
      <c r="C10" s="2"/>
      <c r="D10" s="9" t="str">
        <f aca="false">IFERROR(IF(B11&gt;0,"🔵 "&amp;FIXED(B11,2)&amp;" € de charges encore à payer : garde l’argent sur le compte.",""),"")</f>
        <v>🔵 20.00 € de charges encore à payer : garde l’argent sur le compte.</v>
      </c>
      <c r="E10" s="2"/>
      <c r="F10" s="2"/>
      <c r="G10" s="12" t="str">
        <f aca="false">IF(Paramètres!A25="","",Paramètres!A25)</f>
        <v>Divertissement</v>
      </c>
      <c r="H10" s="13" t="n">
        <f aca="false">IF(G10="","",SUMIFS(Dépenses!$B$5:$B$504,Dépenses!$E$5:$E$504,$B$3,Dépenses!$C$5:$C$504,G10))</f>
        <v>0</v>
      </c>
    </row>
    <row r="11" customFormat="false" ht="15" hidden="false" customHeight="false" outlineLevel="0" collapsed="false">
      <c r="A11" s="16" t="s">
        <v>11</v>
      </c>
      <c r="B11" s="17" t="n">
        <f aca="false">IFERROR(INDEX(Mois!$K$5:$K$40,MATCH($B$3,Mois!$A$5:$A$40,0))-INDEX(Mois!$L$5:$L$40,MATCH($B$3,Mois!$A$5:$A$40,0)),0)</f>
        <v>20</v>
      </c>
      <c r="C11" s="2"/>
      <c r="D11" s="9" t="str">
        <f aca="false">IFERROR(IF(Épargne!J4&lt;-0.004,"🔴 Objectifs : plus d’argent affecté que d’épargne.",""),"")</f>
        <v/>
      </c>
      <c r="E11" s="2"/>
      <c r="F11" s="2"/>
      <c r="G11" s="12" t="str">
        <f aca="false">IF(Paramètres!A26="","",Paramètres!A26)</f>
        <v>Achats</v>
      </c>
      <c r="H11" s="13" t="n">
        <f aca="false">IF(G11="","",SUMIFS(Dépenses!$B$5:$B$504,Dépenses!$E$5:$E$504,$B$3,Dépenses!$C$5:$C$504,G11))</f>
        <v>80</v>
      </c>
    </row>
    <row r="12" customFormat="false" ht="15" hidden="false" customHeight="false" outlineLevel="0" collapsed="false">
      <c r="A12" s="14" t="s">
        <v>12</v>
      </c>
      <c r="B12" s="15" t="n">
        <f aca="false">IFERROR(-INDEX(Mois!$N$5:$N$40,MATCH($B$3,Mois!$A$5:$A$40,0)),0)</f>
        <v>-100</v>
      </c>
      <c r="C12" s="2"/>
      <c r="D12" s="18" t="str">
        <f aca="false">IF(COUNTBLANK(D6:D11)=6,"✓ Rien à signaler","")</f>
        <v/>
      </c>
      <c r="E12" s="2"/>
      <c r="F12" s="2"/>
      <c r="G12" s="12" t="str">
        <f aca="false">IF(Paramètres!A27="","",Paramètres!A27)</f>
        <v>Argent de poche</v>
      </c>
      <c r="H12" s="13" t="n">
        <f aca="false">IF(G12="","",SUMIFS(Dépenses!$B$5:$B$504,Dépenses!$E$5:$E$504,$B$3,Dépenses!$C$5:$C$504,G12))</f>
        <v>0</v>
      </c>
    </row>
    <row r="13" customFormat="false" ht="15" hidden="false" customHeight="false" outlineLevel="0" collapsed="false">
      <c r="A13" s="16" t="s">
        <v>13</v>
      </c>
      <c r="B13" s="17" t="n">
        <f aca="false">IFERROR(INDEX(Mois!$M$5:$M$40,MATCH($B$3,Mois!$A$5:$A$40,0)),0)</f>
        <v>100</v>
      </c>
      <c r="C13" s="2"/>
      <c r="D13" s="2"/>
      <c r="E13" s="2"/>
      <c r="F13" s="2"/>
      <c r="G13" s="12" t="str">
        <f aca="false">IF(Paramètres!A28="","",Paramètres!A28)</f>
        <v>Santé</v>
      </c>
      <c r="H13" s="13" t="n">
        <f aca="false">IF(G13="","",SUMIFS(Dépenses!$B$5:$B$504,Dépenses!$E$5:$E$504,$B$3,Dépenses!$C$5:$C$504,G13))</f>
        <v>0</v>
      </c>
    </row>
    <row r="14" customFormat="false" ht="15" hidden="false" customHeight="false" outlineLevel="0" collapsed="false">
      <c r="A14" s="19" t="s">
        <v>14</v>
      </c>
      <c r="B14" s="20" t="n">
        <f aca="false">IFERROR(INDEX(Mois!$I$5:$I$40,MATCH($B$3,Mois!$A$5:$A$40,0))-INDEX(Mois!$K$5:$K$40,MATCH($B$3,Mois!$A$5:$A$40,0))-INDEX(Mois!$N$5:$N$40,MATCH($B$3,Mois!$A$5:$A$40,0)),0)</f>
        <v>924.97</v>
      </c>
      <c r="C14" s="2"/>
      <c r="D14" s="7" t="s">
        <v>15</v>
      </c>
      <c r="E14" s="2"/>
      <c r="F14" s="2"/>
      <c r="G14" s="12" t="str">
        <f aca="false">IF(Paramètres!A29="","",Paramètres!A29)</f>
        <v>Général</v>
      </c>
      <c r="H14" s="13" t="n">
        <f aca="false">IF(G14="","",SUMIFS(Dépenses!$B$5:$B$504,Dépenses!$E$5:$E$504,$B$3,Dépenses!$C$5:$C$504,G14))</f>
        <v>0</v>
      </c>
    </row>
    <row r="15" customFormat="false" ht="15" hidden="false" customHeight="false" outlineLevel="0" collapsed="false">
      <c r="A15" s="14" t="s">
        <v>16</v>
      </c>
      <c r="B15" s="15" t="n">
        <f aca="false">IFERROR(-INDEX(Mois!$P$5:$P$40,MATCH($B$3,Mois!$A$5:$A$40,0)),0)</f>
        <v>-80</v>
      </c>
      <c r="C15" s="2"/>
      <c r="D15" s="21" t="s">
        <v>17</v>
      </c>
      <c r="E15" s="22" t="n">
        <f aca="false">Épargne!B4</f>
        <v>600</v>
      </c>
      <c r="F15" s="2"/>
      <c r="G15" s="12" t="str">
        <f aca="false">IF(Paramètres!A30="","",Paramètres!A30)</f>
        <v/>
      </c>
      <c r="H15" s="13" t="str">
        <f aca="false">IF(G15="","",SUMIFS(Dépenses!$B$5:$B$504,Dépenses!$E$5:$E$504,$B$3,Dépenses!$C$5:$C$504,G15))</f>
        <v/>
      </c>
    </row>
    <row r="16" customFormat="false" ht="15" hidden="false" customHeight="false" outlineLevel="0" collapsed="false">
      <c r="A16" s="14" t="s">
        <v>18</v>
      </c>
      <c r="B16" s="15" t="n">
        <f aca="false">IFERROR(-(INDEX(Mois!$O$5:$O$40,MATCH($B$3,Mois!$A$5:$A$40,0))-INDEX(Mois!$P$5:$P$40,MATCH($B$3,Mois!$A$5:$A$40,0))),0)</f>
        <v>-80</v>
      </c>
      <c r="C16" s="2"/>
      <c r="D16" s="21" t="s">
        <v>19</v>
      </c>
      <c r="E16" s="22" t="n">
        <f aca="false">Épargne!F4</f>
        <v>500</v>
      </c>
      <c r="F16" s="2"/>
      <c r="G16" s="12" t="str">
        <f aca="false">IF(Paramètres!A31="","",Paramètres!A31)</f>
        <v/>
      </c>
      <c r="H16" s="13" t="str">
        <f aca="false">IF(G16="","",SUMIFS(Dépenses!$B$5:$B$504,Dépenses!$E$5:$E$504,$B$3,Dépenses!$C$5:$C$504,G16))</f>
        <v/>
      </c>
    </row>
    <row r="17" customFormat="false" ht="15" hidden="false" customHeight="false" outlineLevel="0" collapsed="false">
      <c r="A17" s="19" t="s">
        <v>20</v>
      </c>
      <c r="B17" s="20" t="n">
        <f aca="false">IFERROR(INDEX(Mois!$Q$5:$Q$40,MATCH($B$3,Mois!$A$5:$A$40,0)),0)</f>
        <v>764.97</v>
      </c>
      <c r="C17" s="2"/>
      <c r="D17" s="21" t="s">
        <v>21</v>
      </c>
      <c r="E17" s="22" t="n">
        <f aca="false">Épargne!J4</f>
        <v>100</v>
      </c>
      <c r="F17" s="2"/>
      <c r="G17" s="12" t="str">
        <f aca="false">IF(Paramètres!A32="","",Paramètres!A32)</f>
        <v/>
      </c>
      <c r="H17" s="13" t="str">
        <f aca="false">IF(G17="","",SUMIFS(Dépenses!$B$5:$B$504,Dépenses!$E$5:$E$504,$B$3,Dépenses!$C$5:$C$504,G17))</f>
        <v/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12" t="str">
        <f aca="false">IF(Paramètres!A33="","",Paramètres!A33)</f>
        <v/>
      </c>
      <c r="H18" s="13" t="str">
        <f aca="false">IF(G18="","",SUMIFS(Dépenses!$B$5:$B$504,Dépenses!$E$5:$E$504,$B$3,Dépenses!$C$5:$C$504,G18))</f>
        <v/>
      </c>
    </row>
    <row r="19" customFormat="false" ht="15" hidden="false" customHeight="false" outlineLevel="0" collapsed="false">
      <c r="A19" s="4" t="s">
        <v>22</v>
      </c>
      <c r="B19" s="23" t="n">
        <f aca="true">IFERROR(IF(AND($B$3=Paramètres!$B$4,B17&gt;0),ROUNDDOWN(B17/(DAY(EOMONTH(TODAY(),0))-DAY(TODAY())+1),2),"—"),"—")</f>
        <v>47.81</v>
      </c>
      <c r="C19" s="2"/>
      <c r="D19" s="2"/>
      <c r="E19" s="2"/>
      <c r="F19" s="2"/>
      <c r="G19" s="12" t="str">
        <f aca="false">IF(Paramètres!A34="","",Paramètres!A34)</f>
        <v/>
      </c>
      <c r="H19" s="13" t="str">
        <f aca="false">IF(G19="","",SUMIFS(Dépenses!$B$5:$B$504,Dépenses!$E$5:$E$504,$B$3,Dépenses!$C$5:$C$504,G19))</f>
        <v/>
      </c>
    </row>
    <row r="20" customFormat="false" ht="15" hidden="false" customHeight="false" outlineLevel="0" collapsed="false">
      <c r="A20" s="24" t="s">
        <v>23</v>
      </c>
      <c r="B20" s="2"/>
      <c r="C20" s="2"/>
      <c r="D20" s="2"/>
      <c r="E20" s="2"/>
      <c r="F20" s="2"/>
      <c r="G20" s="12" t="str">
        <f aca="false">IF(Paramètres!A35="","",Paramètres!A35)</f>
        <v/>
      </c>
      <c r="H20" s="13" t="str">
        <f aca="false">IF(G20="","",SUMIFS(Dépenses!$B$5:$B$504,Dépenses!$E$5:$E$504,$B$3,Dépenses!$C$5:$C$504,G20))</f>
        <v/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12" t="str">
        <f aca="false">IF(Paramètres!A36="","",Paramètres!A36)</f>
        <v/>
      </c>
      <c r="H21" s="13" t="str">
        <f aca="false">IF(G21="","",SUMIFS(Dépenses!$B$5:$B$504,Dépenses!$E$5:$E$504,$B$3,Dépenses!$C$5:$C$504,G21))</f>
        <v/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12" t="str">
        <f aca="false">IF(Paramètres!A37="","",Paramètres!A37)</f>
        <v/>
      </c>
      <c r="H22" s="13" t="str">
        <f aca="false">IF(G22="","",SUMIFS(Dépenses!$B$5:$B$504,Dépenses!$E$5:$E$504,$B$3,Dépenses!$C$5:$C$504,G22))</f>
        <v/>
      </c>
    </row>
  </sheetData>
  <mergeCells count="1">
    <mergeCell ref="A6:B6"/>
  </mergeCells>
  <conditionalFormatting sqref="A6">
    <cfRule type="cellIs" priority="2" operator="lessThan" aboveAverage="0" equalAverage="0" bottom="0" percent="0" rank="0" text="" dxfId="0">
      <formula>0</formula>
    </cfRule>
  </conditionalFormatting>
  <conditionalFormatting sqref="A7">
    <cfRule type="expression" priority="3" aboveAverage="0" equalAverage="0" bottom="0" percent="0" rank="0" text="" dxfId="1">
      <formula>LEFT($A$7,1)="✓"</formula>
    </cfRule>
  </conditionalFormatting>
  <dataValidations count="1">
    <dataValidation allowBlank="false" errorStyle="stop" operator="between" showDropDown="false" showErrorMessage="false" showInputMessage="false" sqref="B3" type="list">
      <formula1>Mois!$A$5:$A$40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27.75" hidden="false" customHeight="true" outlineLevel="0" collapsed="false">
      <c r="A1" s="25" t="s">
        <v>24</v>
      </c>
      <c r="B1" s="2"/>
      <c r="C1" s="2"/>
    </row>
    <row r="2" customFormat="false" ht="15" hidden="false" customHeight="false" outlineLevel="0" collapsed="false">
      <c r="A2" s="3" t="s">
        <v>25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14" t="s">
        <v>26</v>
      </c>
      <c r="B4" s="14" t="str">
        <f aca="true">YEAR(TODAY())&amp;"-"&amp;TEXT(MONTH(TODAY()),"00")</f>
        <v>2026-10</v>
      </c>
      <c r="C4" s="26" t="s">
        <v>27</v>
      </c>
    </row>
    <row r="5" customFormat="false" ht="15" hidden="false" customHeight="false" outlineLevel="0" collapsed="false">
      <c r="A5" s="14" t="s">
        <v>28</v>
      </c>
      <c r="B5" s="27" t="n">
        <v>500</v>
      </c>
      <c r="C5" s="26" t="s">
        <v>29</v>
      </c>
    </row>
    <row r="6" customFormat="false" ht="15" hidden="false" customHeight="false" outlineLevel="0" collapsed="false">
      <c r="A6" s="14" t="s">
        <v>30</v>
      </c>
      <c r="B6" s="27" t="n">
        <v>300</v>
      </c>
      <c r="C6" s="26" t="s">
        <v>31</v>
      </c>
    </row>
    <row r="7" customFormat="false" ht="15" hidden="false" customHeight="false" outlineLevel="0" collapsed="false">
      <c r="A7" s="14" t="s">
        <v>32</v>
      </c>
      <c r="B7" s="28" t="s">
        <v>33</v>
      </c>
      <c r="C7" s="26" t="s">
        <v>34</v>
      </c>
    </row>
    <row r="8" customFormat="false" ht="15" hidden="false" customHeight="false" outlineLevel="0" collapsed="false">
      <c r="A8" s="19" t="s">
        <v>35</v>
      </c>
      <c r="B8" s="21"/>
      <c r="C8" s="26"/>
    </row>
    <row r="9" customFormat="false" ht="15" hidden="false" customHeight="false" outlineLevel="0" collapsed="false">
      <c r="A9" s="14" t="s">
        <v>36</v>
      </c>
      <c r="B9" s="27" t="n">
        <v>1493.65</v>
      </c>
      <c r="C9" s="26" t="s">
        <v>37</v>
      </c>
    </row>
    <row r="10" customFormat="false" ht="15" hidden="false" customHeight="false" outlineLevel="0" collapsed="false">
      <c r="A10" s="14" t="s">
        <v>38</v>
      </c>
      <c r="B10" s="27" t="n">
        <v>1.45</v>
      </c>
      <c r="C10" s="26" t="s">
        <v>39</v>
      </c>
    </row>
    <row r="11" customFormat="false" ht="15" hidden="false" customHeight="false" outlineLevel="0" collapsed="false">
      <c r="A11" s="14" t="s">
        <v>40</v>
      </c>
      <c r="B11" s="27" t="n">
        <v>2.13</v>
      </c>
      <c r="C11" s="26" t="s">
        <v>39</v>
      </c>
    </row>
    <row r="12" customFormat="false" ht="15" hidden="false" customHeight="false" outlineLevel="0" collapsed="false">
      <c r="A12" s="14" t="s">
        <v>41</v>
      </c>
      <c r="B12" s="27" t="n">
        <v>10.4</v>
      </c>
      <c r="C12" s="26" t="s">
        <v>42</v>
      </c>
    </row>
    <row r="13" customFormat="false" ht="15" hidden="false" customHeight="false" outlineLevel="0" collapsed="false">
      <c r="A13" s="14" t="s">
        <v>43</v>
      </c>
      <c r="B13" s="29" t="n">
        <v>9.699</v>
      </c>
      <c r="C13" s="26" t="s">
        <v>44</v>
      </c>
    </row>
    <row r="14" customFormat="false" ht="15" hidden="false" customHeight="false" outlineLevel="0" collapsed="false">
      <c r="A14" s="14" t="s">
        <v>45</v>
      </c>
      <c r="B14" s="30" t="n">
        <v>7</v>
      </c>
      <c r="C14" s="26"/>
    </row>
    <row r="15" customFormat="false" ht="15" hidden="false" customHeight="false" outlineLevel="0" collapsed="false">
      <c r="A15" s="14" t="s">
        <v>46</v>
      </c>
      <c r="B15" s="27" t="n">
        <v>172.7</v>
      </c>
      <c r="C15" s="26" t="s">
        <v>47</v>
      </c>
    </row>
    <row r="16" customFormat="false" ht="15" hidden="false" customHeight="false" outlineLevel="0" collapsed="false">
      <c r="A16" s="14" t="s">
        <v>48</v>
      </c>
      <c r="B16" s="27" t="n">
        <v>1382.92</v>
      </c>
      <c r="C16" s="26" t="s">
        <v>49</v>
      </c>
    </row>
    <row r="17" customFormat="false" ht="15" hidden="false" customHeight="false" outlineLevel="0" collapsed="false">
      <c r="A17" s="14" t="s">
        <v>50</v>
      </c>
      <c r="B17" s="31" t="n">
        <v>0.217</v>
      </c>
      <c r="C17" s="26" t="s">
        <v>51</v>
      </c>
    </row>
    <row r="18" customFormat="false" ht="15" hidden="false" customHeight="false" outlineLevel="0" collapsed="false">
      <c r="A18" s="2"/>
      <c r="B18" s="2"/>
      <c r="C18" s="2"/>
    </row>
    <row r="19" customFormat="false" ht="15" hidden="false" customHeight="false" outlineLevel="0" collapsed="false">
      <c r="A19" s="2"/>
      <c r="B19" s="2"/>
      <c r="C19" s="2"/>
    </row>
    <row r="20" customFormat="false" ht="16.15" hidden="false" customHeight="false" outlineLevel="0" collapsed="false">
      <c r="A20" s="32" t="s">
        <v>52</v>
      </c>
      <c r="B20" s="2"/>
      <c r="C20" s="2"/>
    </row>
    <row r="21" customFormat="false" ht="30" hidden="false" customHeight="true" outlineLevel="0" collapsed="false">
      <c r="A21" s="10" t="s">
        <v>6</v>
      </c>
      <c r="B21" s="10" t="s">
        <v>53</v>
      </c>
      <c r="C21" s="2"/>
    </row>
    <row r="22" customFormat="false" ht="15" hidden="false" customHeight="false" outlineLevel="0" collapsed="false">
      <c r="A22" s="33" t="s">
        <v>54</v>
      </c>
      <c r="B22" s="34" t="n">
        <v>120</v>
      </c>
      <c r="C22" s="2"/>
    </row>
    <row r="23" customFormat="false" ht="15" hidden="false" customHeight="false" outlineLevel="0" collapsed="false">
      <c r="A23" s="33" t="s">
        <v>55</v>
      </c>
      <c r="B23" s="34" t="n">
        <v>200</v>
      </c>
      <c r="C23" s="2"/>
    </row>
    <row r="24" customFormat="false" ht="15" hidden="false" customHeight="false" outlineLevel="0" collapsed="false">
      <c r="A24" s="33" t="s">
        <v>56</v>
      </c>
      <c r="B24" s="34" t="n">
        <v>60</v>
      </c>
      <c r="C24" s="2"/>
    </row>
    <row r="25" customFormat="false" ht="15" hidden="false" customHeight="false" outlineLevel="0" collapsed="false">
      <c r="A25" s="33" t="s">
        <v>57</v>
      </c>
      <c r="B25" s="34"/>
      <c r="C25" s="2"/>
    </row>
    <row r="26" customFormat="false" ht="15" hidden="false" customHeight="false" outlineLevel="0" collapsed="false">
      <c r="A26" s="33" t="s">
        <v>58</v>
      </c>
      <c r="B26" s="34"/>
      <c r="C26" s="2"/>
    </row>
    <row r="27" customFormat="false" ht="15" hidden="false" customHeight="false" outlineLevel="0" collapsed="false">
      <c r="A27" s="33" t="s">
        <v>59</v>
      </c>
      <c r="B27" s="34"/>
      <c r="C27" s="2"/>
    </row>
    <row r="28" customFormat="false" ht="15" hidden="false" customHeight="false" outlineLevel="0" collapsed="false">
      <c r="A28" s="33" t="s">
        <v>60</v>
      </c>
      <c r="B28" s="34"/>
      <c r="C28" s="2"/>
    </row>
    <row r="29" customFormat="false" ht="15" hidden="false" customHeight="false" outlineLevel="0" collapsed="false">
      <c r="A29" s="33" t="s">
        <v>61</v>
      </c>
      <c r="B29" s="34"/>
      <c r="C29" s="2"/>
    </row>
    <row r="30" customFormat="false" ht="15" hidden="false" customHeight="false" outlineLevel="0" collapsed="false">
      <c r="A30" s="2"/>
      <c r="B30" s="2"/>
      <c r="C30" s="2"/>
    </row>
    <row r="31" customFormat="false" ht="15" hidden="false" customHeight="false" outlineLevel="0" collapsed="false">
      <c r="A31" s="2"/>
      <c r="B31" s="2"/>
      <c r="C31" s="2"/>
    </row>
    <row r="32" customFormat="false" ht="15" hidden="false" customHeight="false" outlineLevel="0" collapsed="false">
      <c r="A32" s="2"/>
      <c r="B32" s="2"/>
      <c r="C32" s="2"/>
    </row>
    <row r="33" customFormat="false" ht="15" hidden="false" customHeight="false" outlineLevel="0" collapsed="false">
      <c r="A33" s="2"/>
      <c r="B33" s="2"/>
      <c r="C33" s="2"/>
    </row>
    <row r="34" customFormat="false" ht="15" hidden="false" customHeight="false" outlineLevel="0" collapsed="false">
      <c r="A34" s="2"/>
      <c r="B34" s="2"/>
      <c r="C34" s="2"/>
    </row>
    <row r="35" customFormat="false" ht="15" hidden="false" customHeight="false" outlineLevel="0" collapsed="false">
      <c r="A35" s="2"/>
      <c r="B35" s="2"/>
      <c r="C35" s="2"/>
    </row>
    <row r="36" customFormat="false" ht="15" hidden="false" customHeight="false" outlineLevel="0" collapsed="false">
      <c r="A36" s="2"/>
      <c r="B36" s="2"/>
      <c r="C36" s="2"/>
    </row>
    <row r="37" customFormat="false" ht="15" hidden="false" customHeight="false" outlineLevel="0" collapsed="false">
      <c r="A37" s="2"/>
      <c r="B37" s="2"/>
      <c r="C37" s="2"/>
    </row>
    <row r="38" customFormat="false" ht="15" hidden="false" customHeight="false" outlineLevel="0" collapsed="false">
      <c r="A38" s="24" t="s">
        <v>62</v>
      </c>
      <c r="B38" s="2"/>
      <c r="C3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25" t="s">
        <v>63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64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0" hidden="false" customHeight="true" outlineLevel="0" collapsed="false">
      <c r="A4" s="10" t="s">
        <v>65</v>
      </c>
      <c r="B4" s="10" t="s">
        <v>7</v>
      </c>
      <c r="C4" s="10" t="s">
        <v>6</v>
      </c>
      <c r="D4" s="10" t="s">
        <v>66</v>
      </c>
      <c r="E4" s="10" t="s">
        <v>67</v>
      </c>
      <c r="F4" s="10" t="s">
        <v>68</v>
      </c>
    </row>
    <row r="5" customFormat="false" ht="15" hidden="false" customHeight="false" outlineLevel="0" collapsed="false">
      <c r="A5" s="35" t="n">
        <v>46268</v>
      </c>
      <c r="B5" s="34" t="n">
        <v>40</v>
      </c>
      <c r="C5" s="33" t="s">
        <v>55</v>
      </c>
      <c r="D5" s="33" t="s">
        <v>69</v>
      </c>
      <c r="E5" s="36" t="str">
        <f aca="false">IF(A5="","",YEAR(A5)&amp;"-"&amp;TEXT(MONTH(A5),"00"))</f>
        <v>2026-09</v>
      </c>
      <c r="F5" s="2" t="str">
        <f aca="true">IF(A5="","",IF(A5&lt;=TODAY(),"Payée","Prévue"))</f>
        <v>Payée</v>
      </c>
    </row>
    <row r="6" customFormat="false" ht="15" hidden="false" customHeight="false" outlineLevel="0" collapsed="false">
      <c r="A6" s="35" t="n">
        <v>46275</v>
      </c>
      <c r="B6" s="34" t="n">
        <v>35</v>
      </c>
      <c r="C6" s="33" t="s">
        <v>54</v>
      </c>
      <c r="D6" s="33" t="s">
        <v>70</v>
      </c>
      <c r="E6" s="36" t="str">
        <f aca="false">IF(A6="","",YEAR(A6)&amp;"-"&amp;TEXT(MONTH(A6),"00"))</f>
        <v>2026-09</v>
      </c>
      <c r="F6" s="2" t="str">
        <f aca="true">IF(A6="","",IF(A6&lt;=TODAY(),"Payée","Prévue"))</f>
        <v>Payée</v>
      </c>
    </row>
    <row r="7" customFormat="false" ht="15" hidden="false" customHeight="false" outlineLevel="0" collapsed="false">
      <c r="A7" s="35" t="n">
        <v>46285</v>
      </c>
      <c r="B7" s="34" t="n">
        <v>20</v>
      </c>
      <c r="C7" s="33" t="s">
        <v>56</v>
      </c>
      <c r="D7" s="33" t="s">
        <v>71</v>
      </c>
      <c r="E7" s="36" t="str">
        <f aca="false">IF(A7="","",YEAR(A7)&amp;"-"&amp;TEXT(MONTH(A7),"00"))</f>
        <v>2026-09</v>
      </c>
      <c r="F7" s="2" t="str">
        <f aca="true">IF(A7="","",IF(A7&lt;=TODAY(),"Payée","Prévue"))</f>
        <v>Payée</v>
      </c>
    </row>
    <row r="8" customFormat="false" ht="15" hidden="false" customHeight="false" outlineLevel="0" collapsed="false">
      <c r="A8" s="35" t="n">
        <v>46298</v>
      </c>
      <c r="B8" s="34" t="n">
        <v>50</v>
      </c>
      <c r="C8" s="33" t="s">
        <v>55</v>
      </c>
      <c r="D8" s="33" t="s">
        <v>69</v>
      </c>
      <c r="E8" s="36" t="str">
        <f aca="false">IF(A8="","",YEAR(A8)&amp;"-"&amp;TEXT(MONTH(A8),"00"))</f>
        <v>2026-10</v>
      </c>
      <c r="F8" s="2" t="str">
        <f aca="true">IF(A8="","",IF(A8&lt;=TODAY(),"Payée","Prévue"))</f>
        <v>Payée</v>
      </c>
    </row>
    <row r="9" customFormat="false" ht="15" hidden="false" customHeight="false" outlineLevel="0" collapsed="false">
      <c r="A9" s="35" t="n">
        <v>46307</v>
      </c>
      <c r="B9" s="34" t="n">
        <v>30</v>
      </c>
      <c r="C9" s="33" t="s">
        <v>56</v>
      </c>
      <c r="D9" s="33" t="s">
        <v>72</v>
      </c>
      <c r="E9" s="36" t="str">
        <f aca="false">IF(A9="","",YEAR(A9)&amp;"-"&amp;TEXT(MONTH(A9),"00"))</f>
        <v>2026-10</v>
      </c>
      <c r="F9" s="2" t="str">
        <f aca="true">IF(A9="","",IF(A9&lt;=TODAY(),"Payée","Prévue"))</f>
        <v>Payée</v>
      </c>
    </row>
    <row r="10" customFormat="false" ht="15" hidden="false" customHeight="false" outlineLevel="0" collapsed="false">
      <c r="A10" s="35" t="n">
        <v>46323</v>
      </c>
      <c r="B10" s="34" t="n">
        <v>80</v>
      </c>
      <c r="C10" s="33" t="s">
        <v>58</v>
      </c>
      <c r="D10" s="33" t="s">
        <v>73</v>
      </c>
      <c r="E10" s="36" t="str">
        <f aca="false">IF(A10="","",YEAR(A10)&amp;"-"&amp;TEXT(MONTH(A10),"00"))</f>
        <v>2026-10</v>
      </c>
      <c r="F10" s="2" t="str">
        <f aca="true">IF(A10="","",IF(A10&lt;=TODAY(),"Payée","Prévue"))</f>
        <v>Prévue</v>
      </c>
    </row>
    <row r="11" customFormat="false" ht="15" hidden="false" customHeight="false" outlineLevel="0" collapsed="false">
      <c r="A11" s="35"/>
      <c r="B11" s="34"/>
      <c r="C11" s="33"/>
      <c r="D11" s="33"/>
      <c r="E11" s="36" t="str">
        <f aca="false">IF(A11="","",YEAR(A11)&amp;"-"&amp;TEXT(MONTH(A11),"00"))</f>
        <v/>
      </c>
      <c r="F11" s="2" t="str">
        <f aca="true">IF(A11="","",IF(A11&lt;=TODAY(),"Payée","Prévue"))</f>
        <v/>
      </c>
    </row>
    <row r="12" customFormat="false" ht="15" hidden="false" customHeight="false" outlineLevel="0" collapsed="false">
      <c r="A12" s="35"/>
      <c r="B12" s="34"/>
      <c r="C12" s="33"/>
      <c r="D12" s="33"/>
      <c r="E12" s="36" t="str">
        <f aca="false">IF(A12="","",YEAR(A12)&amp;"-"&amp;TEXT(MONTH(A12),"00"))</f>
        <v/>
      </c>
      <c r="F12" s="2" t="str">
        <f aca="true">IF(A12="","",IF(A12&lt;=TODAY(),"Payée","Prévue"))</f>
        <v/>
      </c>
    </row>
    <row r="13" customFormat="false" ht="15" hidden="false" customHeight="false" outlineLevel="0" collapsed="false">
      <c r="A13" s="35"/>
      <c r="B13" s="34"/>
      <c r="C13" s="33"/>
      <c r="D13" s="33"/>
      <c r="E13" s="36" t="str">
        <f aca="false">IF(A13="","",YEAR(A13)&amp;"-"&amp;TEXT(MONTH(A13),"00"))</f>
        <v/>
      </c>
      <c r="F13" s="2" t="str">
        <f aca="true">IF(A13="","",IF(A13&lt;=TODAY(),"Payée","Prévue"))</f>
        <v/>
      </c>
    </row>
    <row r="14" customFormat="false" ht="15" hidden="false" customHeight="false" outlineLevel="0" collapsed="false">
      <c r="A14" s="35"/>
      <c r="B14" s="34"/>
      <c r="C14" s="33"/>
      <c r="D14" s="33"/>
      <c r="E14" s="36" t="str">
        <f aca="false">IF(A14="","",YEAR(A14)&amp;"-"&amp;TEXT(MONTH(A14),"00"))</f>
        <v/>
      </c>
      <c r="F14" s="2" t="str">
        <f aca="true">IF(A14="","",IF(A14&lt;=TODAY(),"Payée","Prévue"))</f>
        <v/>
      </c>
    </row>
    <row r="15" customFormat="false" ht="15" hidden="false" customHeight="false" outlineLevel="0" collapsed="false">
      <c r="A15" s="35"/>
      <c r="B15" s="34"/>
      <c r="C15" s="33"/>
      <c r="D15" s="33"/>
      <c r="E15" s="36" t="str">
        <f aca="false">IF(A15="","",YEAR(A15)&amp;"-"&amp;TEXT(MONTH(A15),"00"))</f>
        <v/>
      </c>
      <c r="F15" s="2" t="str">
        <f aca="true">IF(A15="","",IF(A15&lt;=TODAY(),"Payée","Prévue"))</f>
        <v/>
      </c>
    </row>
    <row r="16" customFormat="false" ht="15" hidden="false" customHeight="false" outlineLevel="0" collapsed="false">
      <c r="A16" s="35"/>
      <c r="B16" s="34"/>
      <c r="C16" s="33"/>
      <c r="D16" s="33"/>
      <c r="E16" s="36" t="str">
        <f aca="false">IF(A16="","",YEAR(A16)&amp;"-"&amp;TEXT(MONTH(A16),"00"))</f>
        <v/>
      </c>
      <c r="F16" s="2" t="str">
        <f aca="true">IF(A16="","",IF(A16&lt;=TODAY(),"Payée","Prévue"))</f>
        <v/>
      </c>
    </row>
    <row r="17" customFormat="false" ht="15" hidden="false" customHeight="false" outlineLevel="0" collapsed="false">
      <c r="A17" s="35"/>
      <c r="B17" s="34"/>
      <c r="C17" s="33"/>
      <c r="D17" s="33"/>
      <c r="E17" s="36" t="str">
        <f aca="false">IF(A17="","",YEAR(A17)&amp;"-"&amp;TEXT(MONTH(A17),"00"))</f>
        <v/>
      </c>
      <c r="F17" s="2" t="str">
        <f aca="true">IF(A17="","",IF(A17&lt;=TODAY(),"Payée","Prévue"))</f>
        <v/>
      </c>
    </row>
    <row r="18" customFormat="false" ht="15" hidden="false" customHeight="false" outlineLevel="0" collapsed="false">
      <c r="A18" s="35"/>
      <c r="B18" s="34"/>
      <c r="C18" s="33"/>
      <c r="D18" s="33"/>
      <c r="E18" s="36" t="str">
        <f aca="false">IF(A18="","",YEAR(A18)&amp;"-"&amp;TEXT(MONTH(A18),"00"))</f>
        <v/>
      </c>
      <c r="F18" s="2" t="str">
        <f aca="true">IF(A18="","",IF(A18&lt;=TODAY(),"Payée","Prévue"))</f>
        <v/>
      </c>
    </row>
    <row r="19" customFormat="false" ht="15" hidden="false" customHeight="false" outlineLevel="0" collapsed="false">
      <c r="A19" s="35"/>
      <c r="B19" s="34"/>
      <c r="C19" s="33"/>
      <c r="D19" s="33"/>
      <c r="E19" s="36" t="str">
        <f aca="false">IF(A19="","",YEAR(A19)&amp;"-"&amp;TEXT(MONTH(A19),"00"))</f>
        <v/>
      </c>
      <c r="F19" s="2" t="str">
        <f aca="true">IF(A19="","",IF(A19&lt;=TODAY(),"Payée","Prévue"))</f>
        <v/>
      </c>
    </row>
    <row r="20" customFormat="false" ht="15" hidden="false" customHeight="false" outlineLevel="0" collapsed="false">
      <c r="A20" s="35"/>
      <c r="B20" s="34"/>
      <c r="C20" s="33"/>
      <c r="D20" s="33"/>
      <c r="E20" s="36" t="str">
        <f aca="false">IF(A20="","",YEAR(A20)&amp;"-"&amp;TEXT(MONTH(A20),"00"))</f>
        <v/>
      </c>
      <c r="F20" s="2" t="str">
        <f aca="true">IF(A20="","",IF(A20&lt;=TODAY(),"Payée","Prévue"))</f>
        <v/>
      </c>
    </row>
    <row r="21" customFormat="false" ht="15" hidden="false" customHeight="false" outlineLevel="0" collapsed="false">
      <c r="A21" s="35"/>
      <c r="B21" s="34"/>
      <c r="C21" s="33"/>
      <c r="D21" s="33"/>
      <c r="E21" s="36" t="str">
        <f aca="false">IF(A21="","",YEAR(A21)&amp;"-"&amp;TEXT(MONTH(A21),"00"))</f>
        <v/>
      </c>
      <c r="F21" s="2" t="str">
        <f aca="true">IF(A21="","",IF(A21&lt;=TODAY(),"Payée","Prévue"))</f>
        <v/>
      </c>
    </row>
    <row r="22" customFormat="false" ht="15" hidden="false" customHeight="false" outlineLevel="0" collapsed="false">
      <c r="A22" s="35"/>
      <c r="B22" s="34"/>
      <c r="C22" s="33"/>
      <c r="D22" s="33"/>
      <c r="E22" s="36" t="str">
        <f aca="false">IF(A22="","",YEAR(A22)&amp;"-"&amp;TEXT(MONTH(A22),"00"))</f>
        <v/>
      </c>
      <c r="F22" s="2" t="str">
        <f aca="true">IF(A22="","",IF(A22&lt;=TODAY(),"Payée","Prévue"))</f>
        <v/>
      </c>
    </row>
    <row r="23" customFormat="false" ht="15" hidden="false" customHeight="false" outlineLevel="0" collapsed="false">
      <c r="A23" s="35"/>
      <c r="B23" s="34"/>
      <c r="C23" s="33"/>
      <c r="D23" s="33"/>
      <c r="E23" s="36" t="str">
        <f aca="false">IF(A23="","",YEAR(A23)&amp;"-"&amp;TEXT(MONTH(A23),"00"))</f>
        <v/>
      </c>
      <c r="F23" s="2" t="str">
        <f aca="true">IF(A23="","",IF(A23&lt;=TODAY(),"Payée","Prévue"))</f>
        <v/>
      </c>
    </row>
    <row r="24" customFormat="false" ht="15" hidden="false" customHeight="false" outlineLevel="0" collapsed="false">
      <c r="A24" s="35"/>
      <c r="B24" s="34"/>
      <c r="C24" s="33"/>
      <c r="D24" s="33"/>
      <c r="E24" s="36" t="str">
        <f aca="false">IF(A24="","",YEAR(A24)&amp;"-"&amp;TEXT(MONTH(A24),"00"))</f>
        <v/>
      </c>
      <c r="F24" s="2" t="str">
        <f aca="true">IF(A24="","",IF(A24&lt;=TODAY(),"Payée","Prévue"))</f>
        <v/>
      </c>
    </row>
    <row r="25" customFormat="false" ht="15" hidden="false" customHeight="false" outlineLevel="0" collapsed="false">
      <c r="A25" s="35"/>
      <c r="B25" s="34"/>
      <c r="C25" s="33"/>
      <c r="D25" s="33"/>
      <c r="E25" s="36" t="str">
        <f aca="false">IF(A25="","",YEAR(A25)&amp;"-"&amp;TEXT(MONTH(A25),"00"))</f>
        <v/>
      </c>
      <c r="F25" s="2" t="str">
        <f aca="true">IF(A25="","",IF(A25&lt;=TODAY(),"Payée","Prévue"))</f>
        <v/>
      </c>
    </row>
    <row r="26" customFormat="false" ht="15" hidden="false" customHeight="false" outlineLevel="0" collapsed="false">
      <c r="A26" s="35"/>
      <c r="B26" s="34"/>
      <c r="C26" s="33"/>
      <c r="D26" s="33"/>
      <c r="E26" s="36" t="str">
        <f aca="false">IF(A26="","",YEAR(A26)&amp;"-"&amp;TEXT(MONTH(A26),"00"))</f>
        <v/>
      </c>
      <c r="F26" s="2" t="str">
        <f aca="true">IF(A26="","",IF(A26&lt;=TODAY(),"Payée","Prévue"))</f>
        <v/>
      </c>
    </row>
    <row r="27" customFormat="false" ht="15" hidden="false" customHeight="false" outlineLevel="0" collapsed="false">
      <c r="A27" s="35"/>
      <c r="B27" s="34"/>
      <c r="C27" s="33"/>
      <c r="D27" s="33"/>
      <c r="E27" s="36" t="str">
        <f aca="false">IF(A27="","",YEAR(A27)&amp;"-"&amp;TEXT(MONTH(A27),"00"))</f>
        <v/>
      </c>
      <c r="F27" s="2" t="str">
        <f aca="true">IF(A27="","",IF(A27&lt;=TODAY(),"Payée","Prévue"))</f>
        <v/>
      </c>
    </row>
    <row r="28" customFormat="false" ht="15" hidden="false" customHeight="false" outlineLevel="0" collapsed="false">
      <c r="A28" s="35"/>
      <c r="B28" s="34"/>
      <c r="C28" s="33"/>
      <c r="D28" s="33"/>
      <c r="E28" s="36" t="str">
        <f aca="false">IF(A28="","",YEAR(A28)&amp;"-"&amp;TEXT(MONTH(A28),"00"))</f>
        <v/>
      </c>
      <c r="F28" s="2" t="str">
        <f aca="true">IF(A28="","",IF(A28&lt;=TODAY(),"Payée","Prévue"))</f>
        <v/>
      </c>
    </row>
    <row r="29" customFormat="false" ht="15" hidden="false" customHeight="false" outlineLevel="0" collapsed="false">
      <c r="A29" s="35"/>
      <c r="B29" s="34"/>
      <c r="C29" s="33"/>
      <c r="D29" s="33"/>
      <c r="E29" s="36" t="str">
        <f aca="false">IF(A29="","",YEAR(A29)&amp;"-"&amp;TEXT(MONTH(A29),"00"))</f>
        <v/>
      </c>
      <c r="F29" s="2" t="str">
        <f aca="true">IF(A29="","",IF(A29&lt;=TODAY(),"Payée","Prévue"))</f>
        <v/>
      </c>
    </row>
    <row r="30" customFormat="false" ht="15" hidden="false" customHeight="false" outlineLevel="0" collapsed="false">
      <c r="A30" s="35"/>
      <c r="B30" s="34"/>
      <c r="C30" s="33"/>
      <c r="D30" s="33"/>
      <c r="E30" s="36" t="str">
        <f aca="false">IF(A30="","",YEAR(A30)&amp;"-"&amp;TEXT(MONTH(A30),"00"))</f>
        <v/>
      </c>
      <c r="F30" s="2" t="str">
        <f aca="true">IF(A30="","",IF(A30&lt;=TODAY(),"Payée","Prévue"))</f>
        <v/>
      </c>
    </row>
    <row r="31" customFormat="false" ht="15" hidden="false" customHeight="false" outlineLevel="0" collapsed="false">
      <c r="A31" s="35"/>
      <c r="B31" s="34"/>
      <c r="C31" s="33"/>
      <c r="D31" s="33"/>
      <c r="E31" s="36" t="str">
        <f aca="false">IF(A31="","",YEAR(A31)&amp;"-"&amp;TEXT(MONTH(A31),"00"))</f>
        <v/>
      </c>
      <c r="F31" s="2" t="str">
        <f aca="true">IF(A31="","",IF(A31&lt;=TODAY(),"Payée","Prévue"))</f>
        <v/>
      </c>
    </row>
    <row r="32" customFormat="false" ht="15" hidden="false" customHeight="false" outlineLevel="0" collapsed="false">
      <c r="A32" s="35"/>
      <c r="B32" s="34"/>
      <c r="C32" s="33"/>
      <c r="D32" s="33"/>
      <c r="E32" s="36" t="str">
        <f aca="false">IF(A32="","",YEAR(A32)&amp;"-"&amp;TEXT(MONTH(A32),"00"))</f>
        <v/>
      </c>
      <c r="F32" s="2" t="str">
        <f aca="true">IF(A32="","",IF(A32&lt;=TODAY(),"Payée","Prévue"))</f>
        <v/>
      </c>
    </row>
    <row r="33" customFormat="false" ht="15" hidden="false" customHeight="false" outlineLevel="0" collapsed="false">
      <c r="A33" s="35"/>
      <c r="B33" s="34"/>
      <c r="C33" s="33"/>
      <c r="D33" s="33"/>
      <c r="E33" s="36" t="str">
        <f aca="false">IF(A33="","",YEAR(A33)&amp;"-"&amp;TEXT(MONTH(A33),"00"))</f>
        <v/>
      </c>
      <c r="F33" s="2" t="str">
        <f aca="true">IF(A33="","",IF(A33&lt;=TODAY(),"Payée","Prévue"))</f>
        <v/>
      </c>
    </row>
    <row r="34" customFormat="false" ht="15" hidden="false" customHeight="false" outlineLevel="0" collapsed="false">
      <c r="A34" s="35"/>
      <c r="B34" s="34"/>
      <c r="C34" s="33"/>
      <c r="D34" s="33"/>
      <c r="E34" s="36" t="str">
        <f aca="false">IF(A34="","",YEAR(A34)&amp;"-"&amp;TEXT(MONTH(A34),"00"))</f>
        <v/>
      </c>
      <c r="F34" s="2" t="str">
        <f aca="true">IF(A34="","",IF(A34&lt;=TODAY(),"Payée","Prévue"))</f>
        <v/>
      </c>
    </row>
    <row r="35" customFormat="false" ht="15" hidden="false" customHeight="false" outlineLevel="0" collapsed="false">
      <c r="A35" s="35"/>
      <c r="B35" s="34"/>
      <c r="C35" s="33"/>
      <c r="D35" s="33"/>
      <c r="E35" s="36" t="str">
        <f aca="false">IF(A35="","",YEAR(A35)&amp;"-"&amp;TEXT(MONTH(A35),"00"))</f>
        <v/>
      </c>
      <c r="F35" s="2" t="str">
        <f aca="true">IF(A35="","",IF(A35&lt;=TODAY(),"Payée","Prévue"))</f>
        <v/>
      </c>
    </row>
    <row r="36" customFormat="false" ht="15" hidden="false" customHeight="false" outlineLevel="0" collapsed="false">
      <c r="A36" s="35"/>
      <c r="B36" s="34"/>
      <c r="C36" s="33"/>
      <c r="D36" s="33"/>
      <c r="E36" s="36" t="str">
        <f aca="false">IF(A36="","",YEAR(A36)&amp;"-"&amp;TEXT(MONTH(A36),"00"))</f>
        <v/>
      </c>
      <c r="F36" s="2" t="str">
        <f aca="true">IF(A36="","",IF(A36&lt;=TODAY(),"Payée","Prévue"))</f>
        <v/>
      </c>
    </row>
    <row r="37" customFormat="false" ht="15" hidden="false" customHeight="false" outlineLevel="0" collapsed="false">
      <c r="A37" s="35"/>
      <c r="B37" s="34"/>
      <c r="C37" s="33"/>
      <c r="D37" s="33"/>
      <c r="E37" s="36" t="str">
        <f aca="false">IF(A37="","",YEAR(A37)&amp;"-"&amp;TEXT(MONTH(A37),"00"))</f>
        <v/>
      </c>
      <c r="F37" s="2" t="str">
        <f aca="true">IF(A37="","",IF(A37&lt;=TODAY(),"Payée","Prévue"))</f>
        <v/>
      </c>
    </row>
    <row r="38" customFormat="false" ht="15" hidden="false" customHeight="false" outlineLevel="0" collapsed="false">
      <c r="A38" s="35"/>
      <c r="B38" s="34"/>
      <c r="C38" s="33"/>
      <c r="D38" s="33"/>
      <c r="E38" s="36" t="str">
        <f aca="false">IF(A38="","",YEAR(A38)&amp;"-"&amp;TEXT(MONTH(A38),"00"))</f>
        <v/>
      </c>
      <c r="F38" s="2" t="str">
        <f aca="true">IF(A38="","",IF(A38&lt;=TODAY(),"Payée","Prévue"))</f>
        <v/>
      </c>
    </row>
    <row r="39" customFormat="false" ht="15" hidden="false" customHeight="false" outlineLevel="0" collapsed="false">
      <c r="A39" s="35"/>
      <c r="B39" s="34"/>
      <c r="C39" s="33"/>
      <c r="D39" s="33"/>
      <c r="E39" s="36" t="str">
        <f aca="false">IF(A39="","",YEAR(A39)&amp;"-"&amp;TEXT(MONTH(A39),"00"))</f>
        <v/>
      </c>
      <c r="F39" s="2" t="str">
        <f aca="true">IF(A39="","",IF(A39&lt;=TODAY(),"Payée","Prévue"))</f>
        <v/>
      </c>
    </row>
    <row r="40" customFormat="false" ht="15" hidden="false" customHeight="false" outlineLevel="0" collapsed="false">
      <c r="A40" s="35"/>
      <c r="B40" s="34"/>
      <c r="C40" s="33"/>
      <c r="D40" s="33"/>
      <c r="E40" s="36" t="str">
        <f aca="false">IF(A40="","",YEAR(A40)&amp;"-"&amp;TEXT(MONTH(A40),"00"))</f>
        <v/>
      </c>
      <c r="F40" s="2" t="str">
        <f aca="true">IF(A40="","",IF(A40&lt;=TODAY(),"Payée","Prévue"))</f>
        <v/>
      </c>
    </row>
    <row r="41" customFormat="false" ht="15" hidden="false" customHeight="false" outlineLevel="0" collapsed="false">
      <c r="A41" s="35"/>
      <c r="B41" s="34"/>
      <c r="C41" s="33"/>
      <c r="D41" s="33"/>
      <c r="E41" s="36" t="str">
        <f aca="false">IF(A41="","",YEAR(A41)&amp;"-"&amp;TEXT(MONTH(A41),"00"))</f>
        <v/>
      </c>
      <c r="F41" s="2" t="str">
        <f aca="true">IF(A41="","",IF(A41&lt;=TODAY(),"Payée","Prévue"))</f>
        <v/>
      </c>
    </row>
    <row r="42" customFormat="false" ht="15" hidden="false" customHeight="false" outlineLevel="0" collapsed="false">
      <c r="A42" s="35"/>
      <c r="B42" s="34"/>
      <c r="C42" s="33"/>
      <c r="D42" s="33"/>
      <c r="E42" s="36" t="str">
        <f aca="false">IF(A42="","",YEAR(A42)&amp;"-"&amp;TEXT(MONTH(A42),"00"))</f>
        <v/>
      </c>
      <c r="F42" s="2" t="str">
        <f aca="true">IF(A42="","",IF(A42&lt;=TODAY(),"Payée","Prévue"))</f>
        <v/>
      </c>
    </row>
    <row r="43" customFormat="false" ht="15" hidden="false" customHeight="false" outlineLevel="0" collapsed="false">
      <c r="A43" s="35"/>
      <c r="B43" s="34"/>
      <c r="C43" s="33"/>
      <c r="D43" s="33"/>
      <c r="E43" s="36" t="str">
        <f aca="false">IF(A43="","",YEAR(A43)&amp;"-"&amp;TEXT(MONTH(A43),"00"))</f>
        <v/>
      </c>
      <c r="F43" s="2" t="str">
        <f aca="true">IF(A43="","",IF(A43&lt;=TODAY(),"Payée","Prévue"))</f>
        <v/>
      </c>
    </row>
    <row r="44" customFormat="false" ht="15" hidden="false" customHeight="false" outlineLevel="0" collapsed="false">
      <c r="A44" s="35"/>
      <c r="B44" s="34"/>
      <c r="C44" s="33"/>
      <c r="D44" s="33"/>
      <c r="E44" s="36" t="str">
        <f aca="false">IF(A44="","",YEAR(A44)&amp;"-"&amp;TEXT(MONTH(A44),"00"))</f>
        <v/>
      </c>
      <c r="F44" s="2" t="str">
        <f aca="true">IF(A44="","",IF(A44&lt;=TODAY(),"Payée","Prévue"))</f>
        <v/>
      </c>
    </row>
    <row r="45" customFormat="false" ht="15" hidden="false" customHeight="false" outlineLevel="0" collapsed="false">
      <c r="A45" s="35"/>
      <c r="B45" s="34"/>
      <c r="C45" s="33"/>
      <c r="D45" s="33"/>
      <c r="E45" s="36" t="str">
        <f aca="false">IF(A45="","",YEAR(A45)&amp;"-"&amp;TEXT(MONTH(A45),"00"))</f>
        <v/>
      </c>
      <c r="F45" s="2" t="str">
        <f aca="true">IF(A45="","",IF(A45&lt;=TODAY(),"Payée","Prévue"))</f>
        <v/>
      </c>
    </row>
    <row r="46" customFormat="false" ht="15" hidden="false" customHeight="false" outlineLevel="0" collapsed="false">
      <c r="A46" s="35"/>
      <c r="B46" s="34"/>
      <c r="C46" s="33"/>
      <c r="D46" s="33"/>
      <c r="E46" s="36" t="str">
        <f aca="false">IF(A46="","",YEAR(A46)&amp;"-"&amp;TEXT(MONTH(A46),"00"))</f>
        <v/>
      </c>
      <c r="F46" s="2" t="str">
        <f aca="true">IF(A46="","",IF(A46&lt;=TODAY(),"Payée","Prévue"))</f>
        <v/>
      </c>
    </row>
    <row r="47" customFormat="false" ht="15" hidden="false" customHeight="false" outlineLevel="0" collapsed="false">
      <c r="A47" s="35"/>
      <c r="B47" s="34"/>
      <c r="C47" s="33"/>
      <c r="D47" s="33"/>
      <c r="E47" s="36" t="str">
        <f aca="false">IF(A47="","",YEAR(A47)&amp;"-"&amp;TEXT(MONTH(A47),"00"))</f>
        <v/>
      </c>
      <c r="F47" s="2" t="str">
        <f aca="true">IF(A47="","",IF(A47&lt;=TODAY(),"Payée","Prévue"))</f>
        <v/>
      </c>
    </row>
    <row r="48" customFormat="false" ht="15" hidden="false" customHeight="false" outlineLevel="0" collapsed="false">
      <c r="A48" s="35"/>
      <c r="B48" s="34"/>
      <c r="C48" s="33"/>
      <c r="D48" s="33"/>
      <c r="E48" s="36" t="str">
        <f aca="false">IF(A48="","",YEAR(A48)&amp;"-"&amp;TEXT(MONTH(A48),"00"))</f>
        <v/>
      </c>
      <c r="F48" s="2" t="str">
        <f aca="true">IF(A48="","",IF(A48&lt;=TODAY(),"Payée","Prévue"))</f>
        <v/>
      </c>
    </row>
    <row r="49" customFormat="false" ht="15" hidden="false" customHeight="false" outlineLevel="0" collapsed="false">
      <c r="A49" s="35"/>
      <c r="B49" s="34"/>
      <c r="C49" s="33"/>
      <c r="D49" s="33"/>
      <c r="E49" s="36" t="str">
        <f aca="false">IF(A49="","",YEAR(A49)&amp;"-"&amp;TEXT(MONTH(A49),"00"))</f>
        <v/>
      </c>
      <c r="F49" s="2" t="str">
        <f aca="true">IF(A49="","",IF(A49&lt;=TODAY(),"Payée","Prévue"))</f>
        <v/>
      </c>
    </row>
    <row r="50" customFormat="false" ht="15" hidden="false" customHeight="false" outlineLevel="0" collapsed="false">
      <c r="A50" s="35"/>
      <c r="B50" s="34"/>
      <c r="C50" s="33"/>
      <c r="D50" s="33"/>
      <c r="E50" s="36" t="str">
        <f aca="false">IF(A50="","",YEAR(A50)&amp;"-"&amp;TEXT(MONTH(A50),"00"))</f>
        <v/>
      </c>
      <c r="F50" s="2" t="str">
        <f aca="true">IF(A50="","",IF(A50&lt;=TODAY(),"Payée","Prévue"))</f>
        <v/>
      </c>
    </row>
    <row r="51" customFormat="false" ht="15" hidden="false" customHeight="false" outlineLevel="0" collapsed="false">
      <c r="A51" s="35"/>
      <c r="B51" s="34"/>
      <c r="C51" s="33"/>
      <c r="D51" s="33"/>
      <c r="E51" s="36" t="str">
        <f aca="false">IF(A51="","",YEAR(A51)&amp;"-"&amp;TEXT(MONTH(A51),"00"))</f>
        <v/>
      </c>
      <c r="F51" s="2" t="str">
        <f aca="true">IF(A51="","",IF(A51&lt;=TODAY(),"Payée","Prévue"))</f>
        <v/>
      </c>
    </row>
    <row r="52" customFormat="false" ht="15" hidden="false" customHeight="false" outlineLevel="0" collapsed="false">
      <c r="A52" s="35"/>
      <c r="B52" s="34"/>
      <c r="C52" s="33"/>
      <c r="D52" s="33"/>
      <c r="E52" s="36" t="str">
        <f aca="false">IF(A52="","",YEAR(A52)&amp;"-"&amp;TEXT(MONTH(A52),"00"))</f>
        <v/>
      </c>
      <c r="F52" s="2" t="str">
        <f aca="true">IF(A52="","",IF(A52&lt;=TODAY(),"Payée","Prévue"))</f>
        <v/>
      </c>
    </row>
    <row r="53" customFormat="false" ht="15" hidden="false" customHeight="false" outlineLevel="0" collapsed="false">
      <c r="A53" s="35"/>
      <c r="B53" s="34"/>
      <c r="C53" s="33"/>
      <c r="D53" s="33"/>
      <c r="E53" s="36" t="str">
        <f aca="false">IF(A53="","",YEAR(A53)&amp;"-"&amp;TEXT(MONTH(A53),"00"))</f>
        <v/>
      </c>
      <c r="F53" s="2" t="str">
        <f aca="true">IF(A53="","",IF(A53&lt;=TODAY(),"Payée","Prévue"))</f>
        <v/>
      </c>
    </row>
    <row r="54" customFormat="false" ht="15" hidden="false" customHeight="false" outlineLevel="0" collapsed="false">
      <c r="A54" s="35"/>
      <c r="B54" s="34"/>
      <c r="C54" s="33"/>
      <c r="D54" s="33"/>
      <c r="E54" s="36" t="str">
        <f aca="false">IF(A54="","",YEAR(A54)&amp;"-"&amp;TEXT(MONTH(A54),"00"))</f>
        <v/>
      </c>
      <c r="F54" s="2" t="str">
        <f aca="true">IF(A54="","",IF(A54&lt;=TODAY(),"Payée","Prévue"))</f>
        <v/>
      </c>
    </row>
    <row r="55" customFormat="false" ht="15" hidden="false" customHeight="false" outlineLevel="0" collapsed="false">
      <c r="A55" s="35"/>
      <c r="B55" s="34"/>
      <c r="C55" s="33"/>
      <c r="D55" s="33"/>
      <c r="E55" s="36" t="str">
        <f aca="false">IF(A55="","",YEAR(A55)&amp;"-"&amp;TEXT(MONTH(A55),"00"))</f>
        <v/>
      </c>
      <c r="F55" s="2" t="str">
        <f aca="true">IF(A55="","",IF(A55&lt;=TODAY(),"Payée","Prévue"))</f>
        <v/>
      </c>
    </row>
    <row r="56" customFormat="false" ht="15" hidden="false" customHeight="false" outlineLevel="0" collapsed="false">
      <c r="A56" s="35"/>
      <c r="B56" s="34"/>
      <c r="C56" s="33"/>
      <c r="D56" s="33"/>
      <c r="E56" s="36" t="str">
        <f aca="false">IF(A56="","",YEAR(A56)&amp;"-"&amp;TEXT(MONTH(A56),"00"))</f>
        <v/>
      </c>
      <c r="F56" s="2" t="str">
        <f aca="true">IF(A56="","",IF(A56&lt;=TODAY(),"Payée","Prévue"))</f>
        <v/>
      </c>
    </row>
    <row r="57" customFormat="false" ht="15" hidden="false" customHeight="false" outlineLevel="0" collapsed="false">
      <c r="A57" s="35"/>
      <c r="B57" s="34"/>
      <c r="C57" s="33"/>
      <c r="D57" s="33"/>
      <c r="E57" s="36" t="str">
        <f aca="false">IF(A57="","",YEAR(A57)&amp;"-"&amp;TEXT(MONTH(A57),"00"))</f>
        <v/>
      </c>
      <c r="F57" s="2" t="str">
        <f aca="true">IF(A57="","",IF(A57&lt;=TODAY(),"Payée","Prévue"))</f>
        <v/>
      </c>
    </row>
    <row r="58" customFormat="false" ht="15" hidden="false" customHeight="false" outlineLevel="0" collapsed="false">
      <c r="A58" s="35"/>
      <c r="B58" s="34"/>
      <c r="C58" s="33"/>
      <c r="D58" s="33"/>
      <c r="E58" s="36" t="str">
        <f aca="false">IF(A58="","",YEAR(A58)&amp;"-"&amp;TEXT(MONTH(A58),"00"))</f>
        <v/>
      </c>
      <c r="F58" s="2" t="str">
        <f aca="true">IF(A58="","",IF(A58&lt;=TODAY(),"Payée","Prévue"))</f>
        <v/>
      </c>
    </row>
    <row r="59" customFormat="false" ht="15" hidden="false" customHeight="false" outlineLevel="0" collapsed="false">
      <c r="A59" s="35"/>
      <c r="B59" s="34"/>
      <c r="C59" s="33"/>
      <c r="D59" s="33"/>
      <c r="E59" s="36" t="str">
        <f aca="false">IF(A59="","",YEAR(A59)&amp;"-"&amp;TEXT(MONTH(A59),"00"))</f>
        <v/>
      </c>
      <c r="F59" s="2" t="str">
        <f aca="true">IF(A59="","",IF(A59&lt;=TODAY(),"Payée","Prévue"))</f>
        <v/>
      </c>
    </row>
    <row r="60" customFormat="false" ht="15" hidden="false" customHeight="false" outlineLevel="0" collapsed="false">
      <c r="A60" s="35"/>
      <c r="B60" s="34"/>
      <c r="C60" s="33"/>
      <c r="D60" s="33"/>
      <c r="E60" s="36" t="str">
        <f aca="false">IF(A60="","",YEAR(A60)&amp;"-"&amp;TEXT(MONTH(A60),"00"))</f>
        <v/>
      </c>
      <c r="F60" s="2" t="str">
        <f aca="true">IF(A60="","",IF(A60&lt;=TODAY(),"Payée","Prévue"))</f>
        <v/>
      </c>
    </row>
    <row r="61" customFormat="false" ht="15" hidden="false" customHeight="false" outlineLevel="0" collapsed="false">
      <c r="A61" s="35"/>
      <c r="B61" s="34"/>
      <c r="C61" s="33"/>
      <c r="D61" s="33"/>
      <c r="E61" s="36" t="str">
        <f aca="false">IF(A61="","",YEAR(A61)&amp;"-"&amp;TEXT(MONTH(A61),"00"))</f>
        <v/>
      </c>
      <c r="F61" s="2" t="str">
        <f aca="true">IF(A61="","",IF(A61&lt;=TODAY(),"Payée","Prévue"))</f>
        <v/>
      </c>
    </row>
    <row r="62" customFormat="false" ht="15" hidden="false" customHeight="false" outlineLevel="0" collapsed="false">
      <c r="A62" s="35"/>
      <c r="B62" s="34"/>
      <c r="C62" s="33"/>
      <c r="D62" s="33"/>
      <c r="E62" s="36" t="str">
        <f aca="false">IF(A62="","",YEAR(A62)&amp;"-"&amp;TEXT(MONTH(A62),"00"))</f>
        <v/>
      </c>
      <c r="F62" s="2" t="str">
        <f aca="true">IF(A62="","",IF(A62&lt;=TODAY(),"Payée","Prévue"))</f>
        <v/>
      </c>
    </row>
    <row r="63" customFormat="false" ht="15" hidden="false" customHeight="false" outlineLevel="0" collapsed="false">
      <c r="A63" s="35"/>
      <c r="B63" s="34"/>
      <c r="C63" s="33"/>
      <c r="D63" s="33"/>
      <c r="E63" s="36" t="str">
        <f aca="false">IF(A63="","",YEAR(A63)&amp;"-"&amp;TEXT(MONTH(A63),"00"))</f>
        <v/>
      </c>
      <c r="F63" s="2" t="str">
        <f aca="true">IF(A63="","",IF(A63&lt;=TODAY(),"Payée","Prévue"))</f>
        <v/>
      </c>
    </row>
    <row r="64" customFormat="false" ht="15" hidden="false" customHeight="false" outlineLevel="0" collapsed="false">
      <c r="A64" s="35"/>
      <c r="B64" s="34"/>
      <c r="C64" s="33"/>
      <c r="D64" s="33"/>
      <c r="E64" s="36" t="str">
        <f aca="false">IF(A64="","",YEAR(A64)&amp;"-"&amp;TEXT(MONTH(A64),"00"))</f>
        <v/>
      </c>
      <c r="F64" s="2" t="str">
        <f aca="true">IF(A64="","",IF(A64&lt;=TODAY(),"Payée","Prévue"))</f>
        <v/>
      </c>
    </row>
    <row r="65" customFormat="false" ht="15" hidden="false" customHeight="false" outlineLevel="0" collapsed="false">
      <c r="A65" s="35"/>
      <c r="B65" s="34"/>
      <c r="C65" s="33"/>
      <c r="D65" s="33"/>
      <c r="E65" s="36" t="str">
        <f aca="false">IF(A65="","",YEAR(A65)&amp;"-"&amp;TEXT(MONTH(A65),"00"))</f>
        <v/>
      </c>
      <c r="F65" s="2" t="str">
        <f aca="true">IF(A65="","",IF(A65&lt;=TODAY(),"Payée","Prévue"))</f>
        <v/>
      </c>
    </row>
    <row r="66" customFormat="false" ht="15" hidden="false" customHeight="false" outlineLevel="0" collapsed="false">
      <c r="A66" s="35"/>
      <c r="B66" s="34"/>
      <c r="C66" s="33"/>
      <c r="D66" s="33"/>
      <c r="E66" s="36" t="str">
        <f aca="false">IF(A66="","",YEAR(A66)&amp;"-"&amp;TEXT(MONTH(A66),"00"))</f>
        <v/>
      </c>
      <c r="F66" s="2" t="str">
        <f aca="true">IF(A66="","",IF(A66&lt;=TODAY(),"Payée","Prévue"))</f>
        <v/>
      </c>
    </row>
    <row r="67" customFormat="false" ht="15" hidden="false" customHeight="false" outlineLevel="0" collapsed="false">
      <c r="A67" s="35"/>
      <c r="B67" s="34"/>
      <c r="C67" s="33"/>
      <c r="D67" s="33"/>
      <c r="E67" s="36" t="str">
        <f aca="false">IF(A67="","",YEAR(A67)&amp;"-"&amp;TEXT(MONTH(A67),"00"))</f>
        <v/>
      </c>
      <c r="F67" s="2" t="str">
        <f aca="true">IF(A67="","",IF(A67&lt;=TODAY(),"Payée","Prévue"))</f>
        <v/>
      </c>
    </row>
    <row r="68" customFormat="false" ht="15" hidden="false" customHeight="false" outlineLevel="0" collapsed="false">
      <c r="A68" s="35"/>
      <c r="B68" s="34"/>
      <c r="C68" s="33"/>
      <c r="D68" s="33"/>
      <c r="E68" s="36" t="str">
        <f aca="false">IF(A68="","",YEAR(A68)&amp;"-"&amp;TEXT(MONTH(A68),"00"))</f>
        <v/>
      </c>
      <c r="F68" s="2" t="str">
        <f aca="true">IF(A68="","",IF(A68&lt;=TODAY(),"Payée","Prévue"))</f>
        <v/>
      </c>
    </row>
    <row r="69" customFormat="false" ht="15" hidden="false" customHeight="false" outlineLevel="0" collapsed="false">
      <c r="A69" s="35"/>
      <c r="B69" s="34"/>
      <c r="C69" s="33"/>
      <c r="D69" s="33"/>
      <c r="E69" s="36" t="str">
        <f aca="false">IF(A69="","",YEAR(A69)&amp;"-"&amp;TEXT(MONTH(A69),"00"))</f>
        <v/>
      </c>
      <c r="F69" s="2" t="str">
        <f aca="true">IF(A69="","",IF(A69&lt;=TODAY(),"Payée","Prévue"))</f>
        <v/>
      </c>
    </row>
    <row r="70" customFormat="false" ht="15" hidden="false" customHeight="false" outlineLevel="0" collapsed="false">
      <c r="A70" s="35"/>
      <c r="B70" s="34"/>
      <c r="C70" s="33"/>
      <c r="D70" s="33"/>
      <c r="E70" s="36" t="str">
        <f aca="false">IF(A70="","",YEAR(A70)&amp;"-"&amp;TEXT(MONTH(A70),"00"))</f>
        <v/>
      </c>
      <c r="F70" s="2" t="str">
        <f aca="true">IF(A70="","",IF(A70&lt;=TODAY(),"Payée","Prévue"))</f>
        <v/>
      </c>
    </row>
    <row r="71" customFormat="false" ht="15" hidden="false" customHeight="false" outlineLevel="0" collapsed="false">
      <c r="A71" s="35"/>
      <c r="B71" s="34"/>
      <c r="C71" s="33"/>
      <c r="D71" s="33"/>
      <c r="E71" s="36" t="str">
        <f aca="false">IF(A71="","",YEAR(A71)&amp;"-"&amp;TEXT(MONTH(A71),"00"))</f>
        <v/>
      </c>
      <c r="F71" s="2" t="str">
        <f aca="true">IF(A71="","",IF(A71&lt;=TODAY(),"Payée","Prévue"))</f>
        <v/>
      </c>
    </row>
    <row r="72" customFormat="false" ht="15" hidden="false" customHeight="false" outlineLevel="0" collapsed="false">
      <c r="A72" s="35"/>
      <c r="B72" s="34"/>
      <c r="C72" s="33"/>
      <c r="D72" s="33"/>
      <c r="E72" s="36" t="str">
        <f aca="false">IF(A72="","",YEAR(A72)&amp;"-"&amp;TEXT(MONTH(A72),"00"))</f>
        <v/>
      </c>
      <c r="F72" s="2" t="str">
        <f aca="true">IF(A72="","",IF(A72&lt;=TODAY(),"Payée","Prévue"))</f>
        <v/>
      </c>
    </row>
    <row r="73" customFormat="false" ht="15" hidden="false" customHeight="false" outlineLevel="0" collapsed="false">
      <c r="A73" s="35"/>
      <c r="B73" s="34"/>
      <c r="C73" s="33"/>
      <c r="D73" s="33"/>
      <c r="E73" s="36" t="str">
        <f aca="false">IF(A73="","",YEAR(A73)&amp;"-"&amp;TEXT(MONTH(A73),"00"))</f>
        <v/>
      </c>
      <c r="F73" s="2" t="str">
        <f aca="true">IF(A73="","",IF(A73&lt;=TODAY(),"Payée","Prévue"))</f>
        <v/>
      </c>
    </row>
    <row r="74" customFormat="false" ht="15" hidden="false" customHeight="false" outlineLevel="0" collapsed="false">
      <c r="A74" s="35"/>
      <c r="B74" s="34"/>
      <c r="C74" s="33"/>
      <c r="D74" s="33"/>
      <c r="E74" s="36" t="str">
        <f aca="false">IF(A74="","",YEAR(A74)&amp;"-"&amp;TEXT(MONTH(A74),"00"))</f>
        <v/>
      </c>
      <c r="F74" s="2" t="str">
        <f aca="true">IF(A74="","",IF(A74&lt;=TODAY(),"Payée","Prévue"))</f>
        <v/>
      </c>
    </row>
    <row r="75" customFormat="false" ht="15" hidden="false" customHeight="false" outlineLevel="0" collapsed="false">
      <c r="A75" s="35"/>
      <c r="B75" s="34"/>
      <c r="C75" s="33"/>
      <c r="D75" s="33"/>
      <c r="E75" s="36" t="str">
        <f aca="false">IF(A75="","",YEAR(A75)&amp;"-"&amp;TEXT(MONTH(A75),"00"))</f>
        <v/>
      </c>
      <c r="F75" s="2" t="str">
        <f aca="true">IF(A75="","",IF(A75&lt;=TODAY(),"Payée","Prévue"))</f>
        <v/>
      </c>
    </row>
    <row r="76" customFormat="false" ht="15" hidden="false" customHeight="false" outlineLevel="0" collapsed="false">
      <c r="A76" s="35"/>
      <c r="B76" s="34"/>
      <c r="C76" s="33"/>
      <c r="D76" s="33"/>
      <c r="E76" s="36" t="str">
        <f aca="false">IF(A76="","",YEAR(A76)&amp;"-"&amp;TEXT(MONTH(A76),"00"))</f>
        <v/>
      </c>
      <c r="F76" s="2" t="str">
        <f aca="true">IF(A76="","",IF(A76&lt;=TODAY(),"Payée","Prévue"))</f>
        <v/>
      </c>
    </row>
    <row r="77" customFormat="false" ht="15" hidden="false" customHeight="false" outlineLevel="0" collapsed="false">
      <c r="A77" s="35"/>
      <c r="B77" s="34"/>
      <c r="C77" s="33"/>
      <c r="D77" s="33"/>
      <c r="E77" s="36" t="str">
        <f aca="false">IF(A77="","",YEAR(A77)&amp;"-"&amp;TEXT(MONTH(A77),"00"))</f>
        <v/>
      </c>
      <c r="F77" s="2" t="str">
        <f aca="true">IF(A77="","",IF(A77&lt;=TODAY(),"Payée","Prévue"))</f>
        <v/>
      </c>
    </row>
    <row r="78" customFormat="false" ht="15" hidden="false" customHeight="false" outlineLevel="0" collapsed="false">
      <c r="A78" s="35"/>
      <c r="B78" s="34"/>
      <c r="C78" s="33"/>
      <c r="D78" s="33"/>
      <c r="E78" s="36" t="str">
        <f aca="false">IF(A78="","",YEAR(A78)&amp;"-"&amp;TEXT(MONTH(A78),"00"))</f>
        <v/>
      </c>
      <c r="F78" s="2" t="str">
        <f aca="true">IF(A78="","",IF(A78&lt;=TODAY(),"Payée","Prévue"))</f>
        <v/>
      </c>
    </row>
    <row r="79" customFormat="false" ht="15" hidden="false" customHeight="false" outlineLevel="0" collapsed="false">
      <c r="A79" s="35"/>
      <c r="B79" s="34"/>
      <c r="C79" s="33"/>
      <c r="D79" s="33"/>
      <c r="E79" s="36" t="str">
        <f aca="false">IF(A79="","",YEAR(A79)&amp;"-"&amp;TEXT(MONTH(A79),"00"))</f>
        <v/>
      </c>
      <c r="F79" s="2" t="str">
        <f aca="true">IF(A79="","",IF(A79&lt;=TODAY(),"Payée","Prévue"))</f>
        <v/>
      </c>
    </row>
    <row r="80" customFormat="false" ht="15" hidden="false" customHeight="false" outlineLevel="0" collapsed="false">
      <c r="A80" s="35"/>
      <c r="B80" s="34"/>
      <c r="C80" s="33"/>
      <c r="D80" s="33"/>
      <c r="E80" s="36" t="str">
        <f aca="false">IF(A80="","",YEAR(A80)&amp;"-"&amp;TEXT(MONTH(A80),"00"))</f>
        <v/>
      </c>
      <c r="F80" s="2" t="str">
        <f aca="true">IF(A80="","",IF(A80&lt;=TODAY(),"Payée","Prévue"))</f>
        <v/>
      </c>
    </row>
    <row r="81" customFormat="false" ht="15" hidden="false" customHeight="false" outlineLevel="0" collapsed="false">
      <c r="A81" s="35"/>
      <c r="B81" s="34"/>
      <c r="C81" s="33"/>
      <c r="D81" s="33"/>
      <c r="E81" s="36" t="str">
        <f aca="false">IF(A81="","",YEAR(A81)&amp;"-"&amp;TEXT(MONTH(A81),"00"))</f>
        <v/>
      </c>
      <c r="F81" s="2" t="str">
        <f aca="true">IF(A81="","",IF(A81&lt;=TODAY(),"Payée","Prévue"))</f>
        <v/>
      </c>
    </row>
    <row r="82" customFormat="false" ht="15" hidden="false" customHeight="false" outlineLevel="0" collapsed="false">
      <c r="A82" s="35"/>
      <c r="B82" s="34"/>
      <c r="C82" s="33"/>
      <c r="D82" s="33"/>
      <c r="E82" s="36" t="str">
        <f aca="false">IF(A82="","",YEAR(A82)&amp;"-"&amp;TEXT(MONTH(A82),"00"))</f>
        <v/>
      </c>
      <c r="F82" s="2" t="str">
        <f aca="true">IF(A82="","",IF(A82&lt;=TODAY(),"Payée","Prévue"))</f>
        <v/>
      </c>
    </row>
    <row r="83" customFormat="false" ht="15" hidden="false" customHeight="false" outlineLevel="0" collapsed="false">
      <c r="A83" s="35"/>
      <c r="B83" s="34"/>
      <c r="C83" s="33"/>
      <c r="D83" s="33"/>
      <c r="E83" s="36" t="str">
        <f aca="false">IF(A83="","",YEAR(A83)&amp;"-"&amp;TEXT(MONTH(A83),"00"))</f>
        <v/>
      </c>
      <c r="F83" s="2" t="str">
        <f aca="true">IF(A83="","",IF(A83&lt;=TODAY(),"Payée","Prévue"))</f>
        <v/>
      </c>
    </row>
    <row r="84" customFormat="false" ht="15" hidden="false" customHeight="false" outlineLevel="0" collapsed="false">
      <c r="A84" s="35"/>
      <c r="B84" s="34"/>
      <c r="C84" s="33"/>
      <c r="D84" s="33"/>
      <c r="E84" s="36" t="str">
        <f aca="false">IF(A84="","",YEAR(A84)&amp;"-"&amp;TEXT(MONTH(A84),"00"))</f>
        <v/>
      </c>
      <c r="F84" s="2" t="str">
        <f aca="true">IF(A84="","",IF(A84&lt;=TODAY(),"Payée","Prévue"))</f>
        <v/>
      </c>
    </row>
    <row r="85" customFormat="false" ht="15" hidden="false" customHeight="false" outlineLevel="0" collapsed="false">
      <c r="A85" s="35"/>
      <c r="B85" s="34"/>
      <c r="C85" s="33"/>
      <c r="D85" s="33"/>
      <c r="E85" s="36" t="str">
        <f aca="false">IF(A85="","",YEAR(A85)&amp;"-"&amp;TEXT(MONTH(A85),"00"))</f>
        <v/>
      </c>
      <c r="F85" s="2" t="str">
        <f aca="true">IF(A85="","",IF(A85&lt;=TODAY(),"Payée","Prévue"))</f>
        <v/>
      </c>
    </row>
    <row r="86" customFormat="false" ht="15" hidden="false" customHeight="false" outlineLevel="0" collapsed="false">
      <c r="A86" s="35"/>
      <c r="B86" s="34"/>
      <c r="C86" s="33"/>
      <c r="D86" s="33"/>
      <c r="E86" s="36" t="str">
        <f aca="false">IF(A86="","",YEAR(A86)&amp;"-"&amp;TEXT(MONTH(A86),"00"))</f>
        <v/>
      </c>
      <c r="F86" s="2" t="str">
        <f aca="true">IF(A86="","",IF(A86&lt;=TODAY(),"Payée","Prévue"))</f>
        <v/>
      </c>
    </row>
    <row r="87" customFormat="false" ht="15" hidden="false" customHeight="false" outlineLevel="0" collapsed="false">
      <c r="A87" s="35"/>
      <c r="B87" s="34"/>
      <c r="C87" s="33"/>
      <c r="D87" s="33"/>
      <c r="E87" s="36" t="str">
        <f aca="false">IF(A87="","",YEAR(A87)&amp;"-"&amp;TEXT(MONTH(A87),"00"))</f>
        <v/>
      </c>
      <c r="F87" s="2" t="str">
        <f aca="true">IF(A87="","",IF(A87&lt;=TODAY(),"Payée","Prévue"))</f>
        <v/>
      </c>
    </row>
    <row r="88" customFormat="false" ht="15" hidden="false" customHeight="false" outlineLevel="0" collapsed="false">
      <c r="A88" s="35"/>
      <c r="B88" s="34"/>
      <c r="C88" s="33"/>
      <c r="D88" s="33"/>
      <c r="E88" s="36" t="str">
        <f aca="false">IF(A88="","",YEAR(A88)&amp;"-"&amp;TEXT(MONTH(A88),"00"))</f>
        <v/>
      </c>
      <c r="F88" s="2" t="str">
        <f aca="true">IF(A88="","",IF(A88&lt;=TODAY(),"Payée","Prévue"))</f>
        <v/>
      </c>
    </row>
    <row r="89" customFormat="false" ht="15" hidden="false" customHeight="false" outlineLevel="0" collapsed="false">
      <c r="A89" s="35"/>
      <c r="B89" s="34"/>
      <c r="C89" s="33"/>
      <c r="D89" s="33"/>
      <c r="E89" s="36" t="str">
        <f aca="false">IF(A89="","",YEAR(A89)&amp;"-"&amp;TEXT(MONTH(A89),"00"))</f>
        <v/>
      </c>
      <c r="F89" s="2" t="str">
        <f aca="true">IF(A89="","",IF(A89&lt;=TODAY(),"Payée","Prévue"))</f>
        <v/>
      </c>
    </row>
    <row r="90" customFormat="false" ht="15" hidden="false" customHeight="false" outlineLevel="0" collapsed="false">
      <c r="A90" s="35"/>
      <c r="B90" s="34"/>
      <c r="C90" s="33"/>
      <c r="D90" s="33"/>
      <c r="E90" s="36" t="str">
        <f aca="false">IF(A90="","",YEAR(A90)&amp;"-"&amp;TEXT(MONTH(A90),"00"))</f>
        <v/>
      </c>
      <c r="F90" s="2" t="str">
        <f aca="true">IF(A90="","",IF(A90&lt;=TODAY(),"Payée","Prévue"))</f>
        <v/>
      </c>
    </row>
    <row r="91" customFormat="false" ht="15" hidden="false" customHeight="false" outlineLevel="0" collapsed="false">
      <c r="A91" s="35"/>
      <c r="B91" s="34"/>
      <c r="C91" s="33"/>
      <c r="D91" s="33"/>
      <c r="E91" s="36" t="str">
        <f aca="false">IF(A91="","",YEAR(A91)&amp;"-"&amp;TEXT(MONTH(A91),"00"))</f>
        <v/>
      </c>
      <c r="F91" s="2" t="str">
        <f aca="true">IF(A91="","",IF(A91&lt;=TODAY(),"Payée","Prévue"))</f>
        <v/>
      </c>
    </row>
    <row r="92" customFormat="false" ht="15" hidden="false" customHeight="false" outlineLevel="0" collapsed="false">
      <c r="A92" s="35"/>
      <c r="B92" s="34"/>
      <c r="C92" s="33"/>
      <c r="D92" s="33"/>
      <c r="E92" s="36" t="str">
        <f aca="false">IF(A92="","",YEAR(A92)&amp;"-"&amp;TEXT(MONTH(A92),"00"))</f>
        <v/>
      </c>
      <c r="F92" s="2" t="str">
        <f aca="true">IF(A92="","",IF(A92&lt;=TODAY(),"Payée","Prévue"))</f>
        <v/>
      </c>
    </row>
    <row r="93" customFormat="false" ht="15" hidden="false" customHeight="false" outlineLevel="0" collapsed="false">
      <c r="A93" s="35"/>
      <c r="B93" s="34"/>
      <c r="C93" s="33"/>
      <c r="D93" s="33"/>
      <c r="E93" s="36" t="str">
        <f aca="false">IF(A93="","",YEAR(A93)&amp;"-"&amp;TEXT(MONTH(A93),"00"))</f>
        <v/>
      </c>
      <c r="F93" s="2" t="str">
        <f aca="true">IF(A93="","",IF(A93&lt;=TODAY(),"Payée","Prévue"))</f>
        <v/>
      </c>
    </row>
    <row r="94" customFormat="false" ht="15" hidden="false" customHeight="false" outlineLevel="0" collapsed="false">
      <c r="A94" s="35"/>
      <c r="B94" s="34"/>
      <c r="C94" s="33"/>
      <c r="D94" s="33"/>
      <c r="E94" s="36" t="str">
        <f aca="false">IF(A94="","",YEAR(A94)&amp;"-"&amp;TEXT(MONTH(A94),"00"))</f>
        <v/>
      </c>
      <c r="F94" s="2" t="str">
        <f aca="true">IF(A94="","",IF(A94&lt;=TODAY(),"Payée","Prévue"))</f>
        <v/>
      </c>
    </row>
    <row r="95" customFormat="false" ht="15" hidden="false" customHeight="false" outlineLevel="0" collapsed="false">
      <c r="A95" s="35"/>
      <c r="B95" s="34"/>
      <c r="C95" s="33"/>
      <c r="D95" s="33"/>
      <c r="E95" s="36" t="str">
        <f aca="false">IF(A95="","",YEAR(A95)&amp;"-"&amp;TEXT(MONTH(A95),"00"))</f>
        <v/>
      </c>
      <c r="F95" s="2" t="str">
        <f aca="true">IF(A95="","",IF(A95&lt;=TODAY(),"Payée","Prévue"))</f>
        <v/>
      </c>
    </row>
    <row r="96" customFormat="false" ht="15" hidden="false" customHeight="false" outlineLevel="0" collapsed="false">
      <c r="A96" s="35"/>
      <c r="B96" s="34"/>
      <c r="C96" s="33"/>
      <c r="D96" s="33"/>
      <c r="E96" s="36" t="str">
        <f aca="false">IF(A96="","",YEAR(A96)&amp;"-"&amp;TEXT(MONTH(A96),"00"))</f>
        <v/>
      </c>
      <c r="F96" s="2" t="str">
        <f aca="true">IF(A96="","",IF(A96&lt;=TODAY(),"Payée","Prévue"))</f>
        <v/>
      </c>
    </row>
    <row r="97" customFormat="false" ht="15" hidden="false" customHeight="false" outlineLevel="0" collapsed="false">
      <c r="A97" s="35"/>
      <c r="B97" s="34"/>
      <c r="C97" s="33"/>
      <c r="D97" s="33"/>
      <c r="E97" s="36" t="str">
        <f aca="false">IF(A97="","",YEAR(A97)&amp;"-"&amp;TEXT(MONTH(A97),"00"))</f>
        <v/>
      </c>
      <c r="F97" s="2" t="str">
        <f aca="true">IF(A97="","",IF(A97&lt;=TODAY(),"Payée","Prévue"))</f>
        <v/>
      </c>
    </row>
    <row r="98" customFormat="false" ht="15" hidden="false" customHeight="false" outlineLevel="0" collapsed="false">
      <c r="A98" s="35"/>
      <c r="B98" s="34"/>
      <c r="C98" s="33"/>
      <c r="D98" s="33"/>
      <c r="E98" s="36" t="str">
        <f aca="false">IF(A98="","",YEAR(A98)&amp;"-"&amp;TEXT(MONTH(A98),"00"))</f>
        <v/>
      </c>
      <c r="F98" s="2" t="str">
        <f aca="true">IF(A98="","",IF(A98&lt;=TODAY(),"Payée","Prévue"))</f>
        <v/>
      </c>
    </row>
    <row r="99" customFormat="false" ht="15" hidden="false" customHeight="false" outlineLevel="0" collapsed="false">
      <c r="A99" s="35"/>
      <c r="B99" s="34"/>
      <c r="C99" s="33"/>
      <c r="D99" s="33"/>
      <c r="E99" s="36" t="str">
        <f aca="false">IF(A99="","",YEAR(A99)&amp;"-"&amp;TEXT(MONTH(A99),"00"))</f>
        <v/>
      </c>
      <c r="F99" s="2" t="str">
        <f aca="true">IF(A99="","",IF(A99&lt;=TODAY(),"Payée","Prévue"))</f>
        <v/>
      </c>
    </row>
    <row r="100" customFormat="false" ht="15" hidden="false" customHeight="false" outlineLevel="0" collapsed="false">
      <c r="A100" s="35"/>
      <c r="B100" s="34"/>
      <c r="C100" s="33"/>
      <c r="D100" s="33"/>
      <c r="E100" s="36" t="str">
        <f aca="false">IF(A100="","",YEAR(A100)&amp;"-"&amp;TEXT(MONTH(A100),"00"))</f>
        <v/>
      </c>
      <c r="F100" s="2" t="str">
        <f aca="true">IF(A100="","",IF(A100&lt;=TODAY(),"Payée","Prévue"))</f>
        <v/>
      </c>
    </row>
    <row r="101" customFormat="false" ht="15" hidden="false" customHeight="false" outlineLevel="0" collapsed="false">
      <c r="A101" s="35"/>
      <c r="B101" s="34"/>
      <c r="C101" s="33"/>
      <c r="D101" s="33"/>
      <c r="E101" s="36" t="str">
        <f aca="false">IF(A101="","",YEAR(A101)&amp;"-"&amp;TEXT(MONTH(A101),"00"))</f>
        <v/>
      </c>
      <c r="F101" s="2" t="str">
        <f aca="true">IF(A101="","",IF(A101&lt;=TODAY(),"Payée","Prévue"))</f>
        <v/>
      </c>
    </row>
    <row r="102" customFormat="false" ht="15" hidden="false" customHeight="false" outlineLevel="0" collapsed="false">
      <c r="A102" s="35"/>
      <c r="B102" s="34"/>
      <c r="C102" s="33"/>
      <c r="D102" s="33"/>
      <c r="E102" s="36" t="str">
        <f aca="false">IF(A102="","",YEAR(A102)&amp;"-"&amp;TEXT(MONTH(A102),"00"))</f>
        <v/>
      </c>
      <c r="F102" s="2" t="str">
        <f aca="true">IF(A102="","",IF(A102&lt;=TODAY(),"Payée","Prévue"))</f>
        <v/>
      </c>
    </row>
    <row r="103" customFormat="false" ht="15" hidden="false" customHeight="false" outlineLevel="0" collapsed="false">
      <c r="A103" s="35"/>
      <c r="B103" s="34"/>
      <c r="C103" s="33"/>
      <c r="D103" s="33"/>
      <c r="E103" s="36" t="str">
        <f aca="false">IF(A103="","",YEAR(A103)&amp;"-"&amp;TEXT(MONTH(A103),"00"))</f>
        <v/>
      </c>
      <c r="F103" s="2" t="str">
        <f aca="true">IF(A103="","",IF(A103&lt;=TODAY(),"Payée","Prévue"))</f>
        <v/>
      </c>
    </row>
    <row r="104" customFormat="false" ht="15" hidden="false" customHeight="false" outlineLevel="0" collapsed="false">
      <c r="A104" s="35"/>
      <c r="B104" s="34"/>
      <c r="C104" s="33"/>
      <c r="D104" s="33"/>
      <c r="E104" s="36" t="str">
        <f aca="false">IF(A104="","",YEAR(A104)&amp;"-"&amp;TEXT(MONTH(A104),"00"))</f>
        <v/>
      </c>
      <c r="F104" s="2" t="str">
        <f aca="true">IF(A104="","",IF(A104&lt;=TODAY(),"Payée","Prévue"))</f>
        <v/>
      </c>
    </row>
    <row r="105" customFormat="false" ht="15" hidden="false" customHeight="false" outlineLevel="0" collapsed="false">
      <c r="A105" s="35"/>
      <c r="B105" s="34"/>
      <c r="C105" s="33"/>
      <c r="D105" s="33"/>
      <c r="E105" s="36" t="str">
        <f aca="false">IF(A105="","",YEAR(A105)&amp;"-"&amp;TEXT(MONTH(A105),"00"))</f>
        <v/>
      </c>
      <c r="F105" s="2" t="str">
        <f aca="true">IF(A105="","",IF(A105&lt;=TODAY(),"Payée","Prévue"))</f>
        <v/>
      </c>
    </row>
    <row r="106" customFormat="false" ht="15" hidden="false" customHeight="false" outlineLevel="0" collapsed="false">
      <c r="A106" s="35"/>
      <c r="B106" s="34"/>
      <c r="C106" s="33"/>
      <c r="D106" s="33"/>
      <c r="E106" s="36" t="str">
        <f aca="false">IF(A106="","",YEAR(A106)&amp;"-"&amp;TEXT(MONTH(A106),"00"))</f>
        <v/>
      </c>
      <c r="F106" s="2" t="str">
        <f aca="true">IF(A106="","",IF(A106&lt;=TODAY(),"Payée","Prévue"))</f>
        <v/>
      </c>
    </row>
    <row r="107" customFormat="false" ht="15" hidden="false" customHeight="false" outlineLevel="0" collapsed="false">
      <c r="A107" s="35"/>
      <c r="B107" s="34"/>
      <c r="C107" s="33"/>
      <c r="D107" s="33"/>
      <c r="E107" s="36" t="str">
        <f aca="false">IF(A107="","",YEAR(A107)&amp;"-"&amp;TEXT(MONTH(A107),"00"))</f>
        <v/>
      </c>
      <c r="F107" s="2" t="str">
        <f aca="true">IF(A107="","",IF(A107&lt;=TODAY(),"Payée","Prévue"))</f>
        <v/>
      </c>
    </row>
    <row r="108" customFormat="false" ht="15" hidden="false" customHeight="false" outlineLevel="0" collapsed="false">
      <c r="A108" s="35"/>
      <c r="B108" s="34"/>
      <c r="C108" s="33"/>
      <c r="D108" s="33"/>
      <c r="E108" s="36" t="str">
        <f aca="false">IF(A108="","",YEAR(A108)&amp;"-"&amp;TEXT(MONTH(A108),"00"))</f>
        <v/>
      </c>
      <c r="F108" s="2" t="str">
        <f aca="true">IF(A108="","",IF(A108&lt;=TODAY(),"Payée","Prévue"))</f>
        <v/>
      </c>
    </row>
    <row r="109" customFormat="false" ht="15" hidden="false" customHeight="false" outlineLevel="0" collapsed="false">
      <c r="A109" s="35"/>
      <c r="B109" s="34"/>
      <c r="C109" s="33"/>
      <c r="D109" s="33"/>
      <c r="E109" s="36" t="str">
        <f aca="false">IF(A109="","",YEAR(A109)&amp;"-"&amp;TEXT(MONTH(A109),"00"))</f>
        <v/>
      </c>
      <c r="F109" s="2" t="str">
        <f aca="true">IF(A109="","",IF(A109&lt;=TODAY(),"Payée","Prévue"))</f>
        <v/>
      </c>
    </row>
    <row r="110" customFormat="false" ht="15" hidden="false" customHeight="false" outlineLevel="0" collapsed="false">
      <c r="A110" s="35"/>
      <c r="B110" s="34"/>
      <c r="C110" s="33"/>
      <c r="D110" s="33"/>
      <c r="E110" s="36" t="str">
        <f aca="false">IF(A110="","",YEAR(A110)&amp;"-"&amp;TEXT(MONTH(A110),"00"))</f>
        <v/>
      </c>
      <c r="F110" s="2" t="str">
        <f aca="true">IF(A110="","",IF(A110&lt;=TODAY(),"Payée","Prévue"))</f>
        <v/>
      </c>
    </row>
    <row r="111" customFormat="false" ht="15" hidden="false" customHeight="false" outlineLevel="0" collapsed="false">
      <c r="A111" s="35"/>
      <c r="B111" s="34"/>
      <c r="C111" s="33"/>
      <c r="D111" s="33"/>
      <c r="E111" s="36" t="str">
        <f aca="false">IF(A111="","",YEAR(A111)&amp;"-"&amp;TEXT(MONTH(A111),"00"))</f>
        <v/>
      </c>
      <c r="F111" s="2" t="str">
        <f aca="true">IF(A111="","",IF(A111&lt;=TODAY(),"Payée","Prévue"))</f>
        <v/>
      </c>
    </row>
    <row r="112" customFormat="false" ht="15" hidden="false" customHeight="false" outlineLevel="0" collapsed="false">
      <c r="A112" s="35"/>
      <c r="B112" s="34"/>
      <c r="C112" s="33"/>
      <c r="D112" s="33"/>
      <c r="E112" s="36" t="str">
        <f aca="false">IF(A112="","",YEAR(A112)&amp;"-"&amp;TEXT(MONTH(A112),"00"))</f>
        <v/>
      </c>
      <c r="F112" s="2" t="str">
        <f aca="true">IF(A112="","",IF(A112&lt;=TODAY(),"Payée","Prévue"))</f>
        <v/>
      </c>
    </row>
    <row r="113" customFormat="false" ht="15" hidden="false" customHeight="false" outlineLevel="0" collapsed="false">
      <c r="A113" s="35"/>
      <c r="B113" s="34"/>
      <c r="C113" s="33"/>
      <c r="D113" s="33"/>
      <c r="E113" s="36" t="str">
        <f aca="false">IF(A113="","",YEAR(A113)&amp;"-"&amp;TEXT(MONTH(A113),"00"))</f>
        <v/>
      </c>
      <c r="F113" s="2" t="str">
        <f aca="true">IF(A113="","",IF(A113&lt;=TODAY(),"Payée","Prévue"))</f>
        <v/>
      </c>
    </row>
    <row r="114" customFormat="false" ht="15" hidden="false" customHeight="false" outlineLevel="0" collapsed="false">
      <c r="A114" s="35"/>
      <c r="B114" s="34"/>
      <c r="C114" s="33"/>
      <c r="D114" s="33"/>
      <c r="E114" s="36" t="str">
        <f aca="false">IF(A114="","",YEAR(A114)&amp;"-"&amp;TEXT(MONTH(A114),"00"))</f>
        <v/>
      </c>
      <c r="F114" s="2" t="str">
        <f aca="true">IF(A114="","",IF(A114&lt;=TODAY(),"Payée","Prévue"))</f>
        <v/>
      </c>
    </row>
    <row r="115" customFormat="false" ht="15" hidden="false" customHeight="false" outlineLevel="0" collapsed="false">
      <c r="A115" s="35"/>
      <c r="B115" s="34"/>
      <c r="C115" s="33"/>
      <c r="D115" s="33"/>
      <c r="E115" s="36" t="str">
        <f aca="false">IF(A115="","",YEAR(A115)&amp;"-"&amp;TEXT(MONTH(A115),"00"))</f>
        <v/>
      </c>
      <c r="F115" s="2" t="str">
        <f aca="true">IF(A115="","",IF(A115&lt;=TODAY(),"Payée","Prévue"))</f>
        <v/>
      </c>
    </row>
    <row r="116" customFormat="false" ht="15" hidden="false" customHeight="false" outlineLevel="0" collapsed="false">
      <c r="A116" s="35"/>
      <c r="B116" s="34"/>
      <c r="C116" s="33"/>
      <c r="D116" s="33"/>
      <c r="E116" s="36" t="str">
        <f aca="false">IF(A116="","",YEAR(A116)&amp;"-"&amp;TEXT(MONTH(A116),"00"))</f>
        <v/>
      </c>
      <c r="F116" s="2" t="str">
        <f aca="true">IF(A116="","",IF(A116&lt;=TODAY(),"Payée","Prévue"))</f>
        <v/>
      </c>
    </row>
    <row r="117" customFormat="false" ht="15" hidden="false" customHeight="false" outlineLevel="0" collapsed="false">
      <c r="A117" s="35"/>
      <c r="B117" s="34"/>
      <c r="C117" s="33"/>
      <c r="D117" s="33"/>
      <c r="E117" s="36" t="str">
        <f aca="false">IF(A117="","",YEAR(A117)&amp;"-"&amp;TEXT(MONTH(A117),"00"))</f>
        <v/>
      </c>
      <c r="F117" s="2" t="str">
        <f aca="true">IF(A117="","",IF(A117&lt;=TODAY(),"Payée","Prévue"))</f>
        <v/>
      </c>
    </row>
    <row r="118" customFormat="false" ht="15" hidden="false" customHeight="false" outlineLevel="0" collapsed="false">
      <c r="A118" s="35"/>
      <c r="B118" s="34"/>
      <c r="C118" s="33"/>
      <c r="D118" s="33"/>
      <c r="E118" s="36" t="str">
        <f aca="false">IF(A118="","",YEAR(A118)&amp;"-"&amp;TEXT(MONTH(A118),"00"))</f>
        <v/>
      </c>
      <c r="F118" s="2" t="str">
        <f aca="true">IF(A118="","",IF(A118&lt;=TODAY(),"Payée","Prévue"))</f>
        <v/>
      </c>
    </row>
    <row r="119" customFormat="false" ht="15" hidden="false" customHeight="false" outlineLevel="0" collapsed="false">
      <c r="A119" s="35"/>
      <c r="B119" s="34"/>
      <c r="C119" s="33"/>
      <c r="D119" s="33"/>
      <c r="E119" s="36" t="str">
        <f aca="false">IF(A119="","",YEAR(A119)&amp;"-"&amp;TEXT(MONTH(A119),"00"))</f>
        <v/>
      </c>
      <c r="F119" s="2" t="str">
        <f aca="true">IF(A119="","",IF(A119&lt;=TODAY(),"Payée","Prévue"))</f>
        <v/>
      </c>
    </row>
    <row r="120" customFormat="false" ht="15" hidden="false" customHeight="false" outlineLevel="0" collapsed="false">
      <c r="A120" s="35"/>
      <c r="B120" s="34"/>
      <c r="C120" s="33"/>
      <c r="D120" s="33"/>
      <c r="E120" s="36" t="str">
        <f aca="false">IF(A120="","",YEAR(A120)&amp;"-"&amp;TEXT(MONTH(A120),"00"))</f>
        <v/>
      </c>
      <c r="F120" s="2" t="str">
        <f aca="true">IF(A120="","",IF(A120&lt;=TODAY(),"Payée","Prévue"))</f>
        <v/>
      </c>
    </row>
    <row r="121" customFormat="false" ht="15" hidden="false" customHeight="false" outlineLevel="0" collapsed="false">
      <c r="A121" s="35"/>
      <c r="B121" s="34"/>
      <c r="C121" s="33"/>
      <c r="D121" s="33"/>
      <c r="E121" s="36" t="str">
        <f aca="false">IF(A121="","",YEAR(A121)&amp;"-"&amp;TEXT(MONTH(A121),"00"))</f>
        <v/>
      </c>
      <c r="F121" s="2" t="str">
        <f aca="true">IF(A121="","",IF(A121&lt;=TODAY(),"Payée","Prévue"))</f>
        <v/>
      </c>
    </row>
    <row r="122" customFormat="false" ht="15" hidden="false" customHeight="false" outlineLevel="0" collapsed="false">
      <c r="A122" s="35"/>
      <c r="B122" s="34"/>
      <c r="C122" s="33"/>
      <c r="D122" s="33"/>
      <c r="E122" s="36" t="str">
        <f aca="false">IF(A122="","",YEAR(A122)&amp;"-"&amp;TEXT(MONTH(A122),"00"))</f>
        <v/>
      </c>
      <c r="F122" s="2" t="str">
        <f aca="true">IF(A122="","",IF(A122&lt;=TODAY(),"Payée","Prévue"))</f>
        <v/>
      </c>
    </row>
    <row r="123" customFormat="false" ht="15" hidden="false" customHeight="false" outlineLevel="0" collapsed="false">
      <c r="A123" s="35"/>
      <c r="B123" s="34"/>
      <c r="C123" s="33"/>
      <c r="D123" s="33"/>
      <c r="E123" s="36" t="str">
        <f aca="false">IF(A123="","",YEAR(A123)&amp;"-"&amp;TEXT(MONTH(A123),"00"))</f>
        <v/>
      </c>
      <c r="F123" s="2" t="str">
        <f aca="true">IF(A123="","",IF(A123&lt;=TODAY(),"Payée","Prévue"))</f>
        <v/>
      </c>
    </row>
    <row r="124" customFormat="false" ht="15" hidden="false" customHeight="false" outlineLevel="0" collapsed="false">
      <c r="A124" s="35"/>
      <c r="B124" s="34"/>
      <c r="C124" s="33"/>
      <c r="D124" s="33"/>
      <c r="E124" s="36" t="str">
        <f aca="false">IF(A124="","",YEAR(A124)&amp;"-"&amp;TEXT(MONTH(A124),"00"))</f>
        <v/>
      </c>
      <c r="F124" s="2" t="str">
        <f aca="true">IF(A124="","",IF(A124&lt;=TODAY(),"Payée","Prévue"))</f>
        <v/>
      </c>
    </row>
    <row r="125" customFormat="false" ht="15" hidden="false" customHeight="false" outlineLevel="0" collapsed="false">
      <c r="A125" s="35"/>
      <c r="B125" s="34"/>
      <c r="C125" s="33"/>
      <c r="D125" s="33"/>
      <c r="E125" s="36" t="str">
        <f aca="false">IF(A125="","",YEAR(A125)&amp;"-"&amp;TEXT(MONTH(A125),"00"))</f>
        <v/>
      </c>
      <c r="F125" s="2" t="str">
        <f aca="true">IF(A125="","",IF(A125&lt;=TODAY(),"Payée","Prévue"))</f>
        <v/>
      </c>
    </row>
    <row r="126" customFormat="false" ht="15" hidden="false" customHeight="false" outlineLevel="0" collapsed="false">
      <c r="A126" s="35"/>
      <c r="B126" s="34"/>
      <c r="C126" s="33"/>
      <c r="D126" s="33"/>
      <c r="E126" s="36" t="str">
        <f aca="false">IF(A126="","",YEAR(A126)&amp;"-"&amp;TEXT(MONTH(A126),"00"))</f>
        <v/>
      </c>
      <c r="F126" s="2" t="str">
        <f aca="true">IF(A126="","",IF(A126&lt;=TODAY(),"Payée","Prévue"))</f>
        <v/>
      </c>
    </row>
    <row r="127" customFormat="false" ht="15" hidden="false" customHeight="false" outlineLevel="0" collapsed="false">
      <c r="A127" s="35"/>
      <c r="B127" s="34"/>
      <c r="C127" s="33"/>
      <c r="D127" s="33"/>
      <c r="E127" s="36" t="str">
        <f aca="false">IF(A127="","",YEAR(A127)&amp;"-"&amp;TEXT(MONTH(A127),"00"))</f>
        <v/>
      </c>
      <c r="F127" s="2" t="str">
        <f aca="true">IF(A127="","",IF(A127&lt;=TODAY(),"Payée","Prévue"))</f>
        <v/>
      </c>
    </row>
    <row r="128" customFormat="false" ht="15" hidden="false" customHeight="false" outlineLevel="0" collapsed="false">
      <c r="A128" s="35"/>
      <c r="B128" s="34"/>
      <c r="C128" s="33"/>
      <c r="D128" s="33"/>
      <c r="E128" s="36" t="str">
        <f aca="false">IF(A128="","",YEAR(A128)&amp;"-"&amp;TEXT(MONTH(A128),"00"))</f>
        <v/>
      </c>
      <c r="F128" s="2" t="str">
        <f aca="true">IF(A128="","",IF(A128&lt;=TODAY(),"Payée","Prévue"))</f>
        <v/>
      </c>
    </row>
    <row r="129" customFormat="false" ht="15" hidden="false" customHeight="false" outlineLevel="0" collapsed="false">
      <c r="A129" s="35"/>
      <c r="B129" s="34"/>
      <c r="C129" s="33"/>
      <c r="D129" s="33"/>
      <c r="E129" s="36" t="str">
        <f aca="false">IF(A129="","",YEAR(A129)&amp;"-"&amp;TEXT(MONTH(A129),"00"))</f>
        <v/>
      </c>
      <c r="F129" s="2" t="str">
        <f aca="true">IF(A129="","",IF(A129&lt;=TODAY(),"Payée","Prévue"))</f>
        <v/>
      </c>
    </row>
    <row r="130" customFormat="false" ht="15" hidden="false" customHeight="false" outlineLevel="0" collapsed="false">
      <c r="A130" s="35"/>
      <c r="B130" s="34"/>
      <c r="C130" s="33"/>
      <c r="D130" s="33"/>
      <c r="E130" s="36" t="str">
        <f aca="false">IF(A130="","",YEAR(A130)&amp;"-"&amp;TEXT(MONTH(A130),"00"))</f>
        <v/>
      </c>
      <c r="F130" s="2" t="str">
        <f aca="true">IF(A130="","",IF(A130&lt;=TODAY(),"Payée","Prévue"))</f>
        <v/>
      </c>
    </row>
    <row r="131" customFormat="false" ht="15" hidden="false" customHeight="false" outlineLevel="0" collapsed="false">
      <c r="A131" s="35"/>
      <c r="B131" s="34"/>
      <c r="C131" s="33"/>
      <c r="D131" s="33"/>
      <c r="E131" s="36" t="str">
        <f aca="false">IF(A131="","",YEAR(A131)&amp;"-"&amp;TEXT(MONTH(A131),"00"))</f>
        <v/>
      </c>
      <c r="F131" s="2" t="str">
        <f aca="true">IF(A131="","",IF(A131&lt;=TODAY(),"Payée","Prévue"))</f>
        <v/>
      </c>
    </row>
    <row r="132" customFormat="false" ht="15" hidden="false" customHeight="false" outlineLevel="0" collapsed="false">
      <c r="A132" s="35"/>
      <c r="B132" s="34"/>
      <c r="C132" s="33"/>
      <c r="D132" s="33"/>
      <c r="E132" s="36" t="str">
        <f aca="false">IF(A132="","",YEAR(A132)&amp;"-"&amp;TEXT(MONTH(A132),"00"))</f>
        <v/>
      </c>
      <c r="F132" s="2" t="str">
        <f aca="true">IF(A132="","",IF(A132&lt;=TODAY(),"Payée","Prévue"))</f>
        <v/>
      </c>
    </row>
    <row r="133" customFormat="false" ht="15" hidden="false" customHeight="false" outlineLevel="0" collapsed="false">
      <c r="A133" s="35"/>
      <c r="B133" s="34"/>
      <c r="C133" s="33"/>
      <c r="D133" s="33"/>
      <c r="E133" s="36" t="str">
        <f aca="false">IF(A133="","",YEAR(A133)&amp;"-"&amp;TEXT(MONTH(A133),"00"))</f>
        <v/>
      </c>
      <c r="F133" s="2" t="str">
        <f aca="true">IF(A133="","",IF(A133&lt;=TODAY(),"Payée","Prévue"))</f>
        <v/>
      </c>
    </row>
    <row r="134" customFormat="false" ht="15" hidden="false" customHeight="false" outlineLevel="0" collapsed="false">
      <c r="A134" s="35"/>
      <c r="B134" s="34"/>
      <c r="C134" s="33"/>
      <c r="D134" s="33"/>
      <c r="E134" s="36" t="str">
        <f aca="false">IF(A134="","",YEAR(A134)&amp;"-"&amp;TEXT(MONTH(A134),"00"))</f>
        <v/>
      </c>
      <c r="F134" s="2" t="str">
        <f aca="true">IF(A134="","",IF(A134&lt;=TODAY(),"Payée","Prévue"))</f>
        <v/>
      </c>
    </row>
    <row r="135" customFormat="false" ht="15" hidden="false" customHeight="false" outlineLevel="0" collapsed="false">
      <c r="A135" s="35"/>
      <c r="B135" s="34"/>
      <c r="C135" s="33"/>
      <c r="D135" s="33"/>
      <c r="E135" s="36" t="str">
        <f aca="false">IF(A135="","",YEAR(A135)&amp;"-"&amp;TEXT(MONTH(A135),"00"))</f>
        <v/>
      </c>
      <c r="F135" s="2" t="str">
        <f aca="true">IF(A135="","",IF(A135&lt;=TODAY(),"Payée","Prévue"))</f>
        <v/>
      </c>
    </row>
    <row r="136" customFormat="false" ht="15" hidden="false" customHeight="false" outlineLevel="0" collapsed="false">
      <c r="A136" s="35"/>
      <c r="B136" s="34"/>
      <c r="C136" s="33"/>
      <c r="D136" s="33"/>
      <c r="E136" s="36" t="str">
        <f aca="false">IF(A136="","",YEAR(A136)&amp;"-"&amp;TEXT(MONTH(A136),"00"))</f>
        <v/>
      </c>
      <c r="F136" s="2" t="str">
        <f aca="true">IF(A136="","",IF(A136&lt;=TODAY(),"Payée","Prévue"))</f>
        <v/>
      </c>
    </row>
    <row r="137" customFormat="false" ht="15" hidden="false" customHeight="false" outlineLevel="0" collapsed="false">
      <c r="A137" s="35"/>
      <c r="B137" s="34"/>
      <c r="C137" s="33"/>
      <c r="D137" s="33"/>
      <c r="E137" s="36" t="str">
        <f aca="false">IF(A137="","",YEAR(A137)&amp;"-"&amp;TEXT(MONTH(A137),"00"))</f>
        <v/>
      </c>
      <c r="F137" s="2" t="str">
        <f aca="true">IF(A137="","",IF(A137&lt;=TODAY(),"Payée","Prévue"))</f>
        <v/>
      </c>
    </row>
    <row r="138" customFormat="false" ht="15" hidden="false" customHeight="false" outlineLevel="0" collapsed="false">
      <c r="A138" s="35"/>
      <c r="B138" s="34"/>
      <c r="C138" s="33"/>
      <c r="D138" s="33"/>
      <c r="E138" s="36" t="str">
        <f aca="false">IF(A138="","",YEAR(A138)&amp;"-"&amp;TEXT(MONTH(A138),"00"))</f>
        <v/>
      </c>
      <c r="F138" s="2" t="str">
        <f aca="true">IF(A138="","",IF(A138&lt;=TODAY(),"Payée","Prévue"))</f>
        <v/>
      </c>
    </row>
    <row r="139" customFormat="false" ht="15" hidden="false" customHeight="false" outlineLevel="0" collapsed="false">
      <c r="A139" s="35"/>
      <c r="B139" s="34"/>
      <c r="C139" s="33"/>
      <c r="D139" s="33"/>
      <c r="E139" s="36" t="str">
        <f aca="false">IF(A139="","",YEAR(A139)&amp;"-"&amp;TEXT(MONTH(A139),"00"))</f>
        <v/>
      </c>
      <c r="F139" s="2" t="str">
        <f aca="true">IF(A139="","",IF(A139&lt;=TODAY(),"Payée","Prévue"))</f>
        <v/>
      </c>
    </row>
    <row r="140" customFormat="false" ht="15" hidden="false" customHeight="false" outlineLevel="0" collapsed="false">
      <c r="A140" s="35"/>
      <c r="B140" s="34"/>
      <c r="C140" s="33"/>
      <c r="D140" s="33"/>
      <c r="E140" s="36" t="str">
        <f aca="false">IF(A140="","",YEAR(A140)&amp;"-"&amp;TEXT(MONTH(A140),"00"))</f>
        <v/>
      </c>
      <c r="F140" s="2" t="str">
        <f aca="true">IF(A140="","",IF(A140&lt;=TODAY(),"Payée","Prévue"))</f>
        <v/>
      </c>
    </row>
    <row r="141" customFormat="false" ht="15" hidden="false" customHeight="false" outlineLevel="0" collapsed="false">
      <c r="A141" s="35"/>
      <c r="B141" s="34"/>
      <c r="C141" s="33"/>
      <c r="D141" s="33"/>
      <c r="E141" s="36" t="str">
        <f aca="false">IF(A141="","",YEAR(A141)&amp;"-"&amp;TEXT(MONTH(A141),"00"))</f>
        <v/>
      </c>
      <c r="F141" s="2" t="str">
        <f aca="true">IF(A141="","",IF(A141&lt;=TODAY(),"Payée","Prévue"))</f>
        <v/>
      </c>
    </row>
    <row r="142" customFormat="false" ht="15" hidden="false" customHeight="false" outlineLevel="0" collapsed="false">
      <c r="A142" s="35"/>
      <c r="B142" s="34"/>
      <c r="C142" s="33"/>
      <c r="D142" s="33"/>
      <c r="E142" s="36" t="str">
        <f aca="false">IF(A142="","",YEAR(A142)&amp;"-"&amp;TEXT(MONTH(A142),"00"))</f>
        <v/>
      </c>
      <c r="F142" s="2" t="str">
        <f aca="true">IF(A142="","",IF(A142&lt;=TODAY(),"Payée","Prévue"))</f>
        <v/>
      </c>
    </row>
    <row r="143" customFormat="false" ht="15" hidden="false" customHeight="false" outlineLevel="0" collapsed="false">
      <c r="A143" s="35"/>
      <c r="B143" s="34"/>
      <c r="C143" s="33"/>
      <c r="D143" s="33"/>
      <c r="E143" s="36" t="str">
        <f aca="false">IF(A143="","",YEAR(A143)&amp;"-"&amp;TEXT(MONTH(A143),"00"))</f>
        <v/>
      </c>
      <c r="F143" s="2" t="str">
        <f aca="true">IF(A143="","",IF(A143&lt;=TODAY(),"Payée","Prévue"))</f>
        <v/>
      </c>
    </row>
    <row r="144" customFormat="false" ht="15" hidden="false" customHeight="false" outlineLevel="0" collapsed="false">
      <c r="A144" s="35"/>
      <c r="B144" s="34"/>
      <c r="C144" s="33"/>
      <c r="D144" s="33"/>
      <c r="E144" s="36" t="str">
        <f aca="false">IF(A144="","",YEAR(A144)&amp;"-"&amp;TEXT(MONTH(A144),"00"))</f>
        <v/>
      </c>
      <c r="F144" s="2" t="str">
        <f aca="true">IF(A144="","",IF(A144&lt;=TODAY(),"Payée","Prévue"))</f>
        <v/>
      </c>
    </row>
    <row r="145" customFormat="false" ht="15" hidden="false" customHeight="false" outlineLevel="0" collapsed="false">
      <c r="A145" s="35"/>
      <c r="B145" s="34"/>
      <c r="C145" s="33"/>
      <c r="D145" s="33"/>
      <c r="E145" s="36" t="str">
        <f aca="false">IF(A145="","",YEAR(A145)&amp;"-"&amp;TEXT(MONTH(A145),"00"))</f>
        <v/>
      </c>
      <c r="F145" s="2" t="str">
        <f aca="true">IF(A145="","",IF(A145&lt;=TODAY(),"Payée","Prévue"))</f>
        <v/>
      </c>
    </row>
    <row r="146" customFormat="false" ht="15" hidden="false" customHeight="false" outlineLevel="0" collapsed="false">
      <c r="A146" s="35"/>
      <c r="B146" s="34"/>
      <c r="C146" s="33"/>
      <c r="D146" s="33"/>
      <c r="E146" s="36" t="str">
        <f aca="false">IF(A146="","",YEAR(A146)&amp;"-"&amp;TEXT(MONTH(A146),"00"))</f>
        <v/>
      </c>
      <c r="F146" s="2" t="str">
        <f aca="true">IF(A146="","",IF(A146&lt;=TODAY(),"Payée","Prévue"))</f>
        <v/>
      </c>
    </row>
    <row r="147" customFormat="false" ht="15" hidden="false" customHeight="false" outlineLevel="0" collapsed="false">
      <c r="A147" s="35"/>
      <c r="B147" s="34"/>
      <c r="C147" s="33"/>
      <c r="D147" s="33"/>
      <c r="E147" s="36" t="str">
        <f aca="false">IF(A147="","",YEAR(A147)&amp;"-"&amp;TEXT(MONTH(A147),"00"))</f>
        <v/>
      </c>
      <c r="F147" s="2" t="str">
        <f aca="true">IF(A147="","",IF(A147&lt;=TODAY(),"Payée","Prévue"))</f>
        <v/>
      </c>
    </row>
    <row r="148" customFormat="false" ht="15" hidden="false" customHeight="false" outlineLevel="0" collapsed="false">
      <c r="A148" s="35"/>
      <c r="B148" s="34"/>
      <c r="C148" s="33"/>
      <c r="D148" s="33"/>
      <c r="E148" s="36" t="str">
        <f aca="false">IF(A148="","",YEAR(A148)&amp;"-"&amp;TEXT(MONTH(A148),"00"))</f>
        <v/>
      </c>
      <c r="F148" s="2" t="str">
        <f aca="true">IF(A148="","",IF(A148&lt;=TODAY(),"Payée","Prévue"))</f>
        <v/>
      </c>
    </row>
    <row r="149" customFormat="false" ht="15" hidden="false" customHeight="false" outlineLevel="0" collapsed="false">
      <c r="A149" s="35"/>
      <c r="B149" s="34"/>
      <c r="C149" s="33"/>
      <c r="D149" s="33"/>
      <c r="E149" s="36" t="str">
        <f aca="false">IF(A149="","",YEAR(A149)&amp;"-"&amp;TEXT(MONTH(A149),"00"))</f>
        <v/>
      </c>
      <c r="F149" s="2" t="str">
        <f aca="true">IF(A149="","",IF(A149&lt;=TODAY(),"Payée","Prévue"))</f>
        <v/>
      </c>
    </row>
    <row r="150" customFormat="false" ht="15" hidden="false" customHeight="false" outlineLevel="0" collapsed="false">
      <c r="A150" s="35"/>
      <c r="B150" s="34"/>
      <c r="C150" s="33"/>
      <c r="D150" s="33"/>
      <c r="E150" s="36" t="str">
        <f aca="false">IF(A150="","",YEAR(A150)&amp;"-"&amp;TEXT(MONTH(A150),"00"))</f>
        <v/>
      </c>
      <c r="F150" s="2" t="str">
        <f aca="true">IF(A150="","",IF(A150&lt;=TODAY(),"Payée","Prévue"))</f>
        <v/>
      </c>
    </row>
    <row r="151" customFormat="false" ht="15" hidden="false" customHeight="false" outlineLevel="0" collapsed="false">
      <c r="A151" s="35"/>
      <c r="B151" s="34"/>
      <c r="C151" s="33"/>
      <c r="D151" s="33"/>
      <c r="E151" s="36" t="str">
        <f aca="false">IF(A151="","",YEAR(A151)&amp;"-"&amp;TEXT(MONTH(A151),"00"))</f>
        <v/>
      </c>
      <c r="F151" s="2" t="str">
        <f aca="true">IF(A151="","",IF(A151&lt;=TODAY(),"Payée","Prévue"))</f>
        <v/>
      </c>
    </row>
    <row r="152" customFormat="false" ht="15" hidden="false" customHeight="false" outlineLevel="0" collapsed="false">
      <c r="A152" s="35"/>
      <c r="B152" s="34"/>
      <c r="C152" s="33"/>
      <c r="D152" s="33"/>
      <c r="E152" s="36" t="str">
        <f aca="false">IF(A152="","",YEAR(A152)&amp;"-"&amp;TEXT(MONTH(A152),"00"))</f>
        <v/>
      </c>
      <c r="F152" s="2" t="str">
        <f aca="true">IF(A152="","",IF(A152&lt;=TODAY(),"Payée","Prévue"))</f>
        <v/>
      </c>
    </row>
    <row r="153" customFormat="false" ht="15" hidden="false" customHeight="false" outlineLevel="0" collapsed="false">
      <c r="A153" s="35"/>
      <c r="B153" s="34"/>
      <c r="C153" s="33"/>
      <c r="D153" s="33"/>
      <c r="E153" s="36" t="str">
        <f aca="false">IF(A153="","",YEAR(A153)&amp;"-"&amp;TEXT(MONTH(A153),"00"))</f>
        <v/>
      </c>
      <c r="F153" s="2" t="str">
        <f aca="true">IF(A153="","",IF(A153&lt;=TODAY(),"Payée","Prévue"))</f>
        <v/>
      </c>
    </row>
    <row r="154" customFormat="false" ht="15" hidden="false" customHeight="false" outlineLevel="0" collapsed="false">
      <c r="A154" s="35"/>
      <c r="B154" s="34"/>
      <c r="C154" s="33"/>
      <c r="D154" s="33"/>
      <c r="E154" s="36" t="str">
        <f aca="false">IF(A154="","",YEAR(A154)&amp;"-"&amp;TEXT(MONTH(A154),"00"))</f>
        <v/>
      </c>
      <c r="F154" s="2" t="str">
        <f aca="true">IF(A154="","",IF(A154&lt;=TODAY(),"Payée","Prévue"))</f>
        <v/>
      </c>
    </row>
    <row r="155" customFormat="false" ht="15" hidden="false" customHeight="false" outlineLevel="0" collapsed="false">
      <c r="A155" s="35"/>
      <c r="B155" s="34"/>
      <c r="C155" s="33"/>
      <c r="D155" s="33"/>
      <c r="E155" s="36" t="str">
        <f aca="false">IF(A155="","",YEAR(A155)&amp;"-"&amp;TEXT(MONTH(A155),"00"))</f>
        <v/>
      </c>
      <c r="F155" s="2" t="str">
        <f aca="true">IF(A155="","",IF(A155&lt;=TODAY(),"Payée","Prévue"))</f>
        <v/>
      </c>
    </row>
    <row r="156" customFormat="false" ht="15" hidden="false" customHeight="false" outlineLevel="0" collapsed="false">
      <c r="A156" s="35"/>
      <c r="B156" s="34"/>
      <c r="C156" s="33"/>
      <c r="D156" s="33"/>
      <c r="E156" s="36" t="str">
        <f aca="false">IF(A156="","",YEAR(A156)&amp;"-"&amp;TEXT(MONTH(A156),"00"))</f>
        <v/>
      </c>
      <c r="F156" s="2" t="str">
        <f aca="true">IF(A156="","",IF(A156&lt;=TODAY(),"Payée","Prévue"))</f>
        <v/>
      </c>
    </row>
    <row r="157" customFormat="false" ht="15" hidden="false" customHeight="false" outlineLevel="0" collapsed="false">
      <c r="A157" s="35"/>
      <c r="B157" s="34"/>
      <c r="C157" s="33"/>
      <c r="D157" s="33"/>
      <c r="E157" s="36" t="str">
        <f aca="false">IF(A157="","",YEAR(A157)&amp;"-"&amp;TEXT(MONTH(A157),"00"))</f>
        <v/>
      </c>
      <c r="F157" s="2" t="str">
        <f aca="true">IF(A157="","",IF(A157&lt;=TODAY(),"Payée","Prévue"))</f>
        <v/>
      </c>
    </row>
    <row r="158" customFormat="false" ht="15" hidden="false" customHeight="false" outlineLevel="0" collapsed="false">
      <c r="A158" s="35"/>
      <c r="B158" s="34"/>
      <c r="C158" s="33"/>
      <c r="D158" s="33"/>
      <c r="E158" s="36" t="str">
        <f aca="false">IF(A158="","",YEAR(A158)&amp;"-"&amp;TEXT(MONTH(A158),"00"))</f>
        <v/>
      </c>
      <c r="F158" s="2" t="str">
        <f aca="true">IF(A158="","",IF(A158&lt;=TODAY(),"Payée","Prévue"))</f>
        <v/>
      </c>
    </row>
    <row r="159" customFormat="false" ht="15" hidden="false" customHeight="false" outlineLevel="0" collapsed="false">
      <c r="A159" s="35"/>
      <c r="B159" s="34"/>
      <c r="C159" s="33"/>
      <c r="D159" s="33"/>
      <c r="E159" s="36" t="str">
        <f aca="false">IF(A159="","",YEAR(A159)&amp;"-"&amp;TEXT(MONTH(A159),"00"))</f>
        <v/>
      </c>
      <c r="F159" s="2" t="str">
        <f aca="true">IF(A159="","",IF(A159&lt;=TODAY(),"Payée","Prévue"))</f>
        <v/>
      </c>
    </row>
    <row r="160" customFormat="false" ht="15" hidden="false" customHeight="false" outlineLevel="0" collapsed="false">
      <c r="A160" s="35"/>
      <c r="B160" s="34"/>
      <c r="C160" s="33"/>
      <c r="D160" s="33"/>
      <c r="E160" s="36" t="str">
        <f aca="false">IF(A160="","",YEAR(A160)&amp;"-"&amp;TEXT(MONTH(A160),"00"))</f>
        <v/>
      </c>
      <c r="F160" s="2" t="str">
        <f aca="true">IF(A160="","",IF(A160&lt;=TODAY(),"Payée","Prévue"))</f>
        <v/>
      </c>
    </row>
    <row r="161" customFormat="false" ht="15" hidden="false" customHeight="false" outlineLevel="0" collapsed="false">
      <c r="A161" s="35"/>
      <c r="B161" s="34"/>
      <c r="C161" s="33"/>
      <c r="D161" s="33"/>
      <c r="E161" s="36" t="str">
        <f aca="false">IF(A161="","",YEAR(A161)&amp;"-"&amp;TEXT(MONTH(A161),"00"))</f>
        <v/>
      </c>
      <c r="F161" s="2" t="str">
        <f aca="true">IF(A161="","",IF(A161&lt;=TODAY(),"Payée","Prévue"))</f>
        <v/>
      </c>
    </row>
    <row r="162" customFormat="false" ht="15" hidden="false" customHeight="false" outlineLevel="0" collapsed="false">
      <c r="A162" s="35"/>
      <c r="B162" s="34"/>
      <c r="C162" s="33"/>
      <c r="D162" s="33"/>
      <c r="E162" s="36" t="str">
        <f aca="false">IF(A162="","",YEAR(A162)&amp;"-"&amp;TEXT(MONTH(A162),"00"))</f>
        <v/>
      </c>
      <c r="F162" s="2" t="str">
        <f aca="true">IF(A162="","",IF(A162&lt;=TODAY(),"Payée","Prévue"))</f>
        <v/>
      </c>
    </row>
    <row r="163" customFormat="false" ht="15" hidden="false" customHeight="false" outlineLevel="0" collapsed="false">
      <c r="A163" s="35"/>
      <c r="B163" s="34"/>
      <c r="C163" s="33"/>
      <c r="D163" s="33"/>
      <c r="E163" s="36" t="str">
        <f aca="false">IF(A163="","",YEAR(A163)&amp;"-"&amp;TEXT(MONTH(A163),"00"))</f>
        <v/>
      </c>
      <c r="F163" s="2" t="str">
        <f aca="true">IF(A163="","",IF(A163&lt;=TODAY(),"Payée","Prévue"))</f>
        <v/>
      </c>
    </row>
    <row r="164" customFormat="false" ht="15" hidden="false" customHeight="false" outlineLevel="0" collapsed="false">
      <c r="A164" s="35"/>
      <c r="B164" s="34"/>
      <c r="C164" s="33"/>
      <c r="D164" s="33"/>
      <c r="E164" s="36" t="str">
        <f aca="false">IF(A164="","",YEAR(A164)&amp;"-"&amp;TEXT(MONTH(A164),"00"))</f>
        <v/>
      </c>
      <c r="F164" s="2" t="str">
        <f aca="true">IF(A164="","",IF(A164&lt;=TODAY(),"Payée","Prévue"))</f>
        <v/>
      </c>
    </row>
    <row r="165" customFormat="false" ht="15" hidden="false" customHeight="false" outlineLevel="0" collapsed="false">
      <c r="A165" s="35"/>
      <c r="B165" s="34"/>
      <c r="C165" s="33"/>
      <c r="D165" s="33"/>
      <c r="E165" s="36" t="str">
        <f aca="false">IF(A165="","",YEAR(A165)&amp;"-"&amp;TEXT(MONTH(A165),"00"))</f>
        <v/>
      </c>
      <c r="F165" s="2" t="str">
        <f aca="true">IF(A165="","",IF(A165&lt;=TODAY(),"Payée","Prévue"))</f>
        <v/>
      </c>
    </row>
    <row r="166" customFormat="false" ht="15" hidden="false" customHeight="false" outlineLevel="0" collapsed="false">
      <c r="A166" s="35"/>
      <c r="B166" s="34"/>
      <c r="C166" s="33"/>
      <c r="D166" s="33"/>
      <c r="E166" s="36" t="str">
        <f aca="false">IF(A166="","",YEAR(A166)&amp;"-"&amp;TEXT(MONTH(A166),"00"))</f>
        <v/>
      </c>
      <c r="F166" s="2" t="str">
        <f aca="true">IF(A166="","",IF(A166&lt;=TODAY(),"Payée","Prévue"))</f>
        <v/>
      </c>
    </row>
    <row r="167" customFormat="false" ht="15" hidden="false" customHeight="false" outlineLevel="0" collapsed="false">
      <c r="A167" s="35"/>
      <c r="B167" s="34"/>
      <c r="C167" s="33"/>
      <c r="D167" s="33"/>
      <c r="E167" s="36" t="str">
        <f aca="false">IF(A167="","",YEAR(A167)&amp;"-"&amp;TEXT(MONTH(A167),"00"))</f>
        <v/>
      </c>
      <c r="F167" s="2" t="str">
        <f aca="true">IF(A167="","",IF(A167&lt;=TODAY(),"Payée","Prévue"))</f>
        <v/>
      </c>
    </row>
    <row r="168" customFormat="false" ht="15" hidden="false" customHeight="false" outlineLevel="0" collapsed="false">
      <c r="A168" s="35"/>
      <c r="B168" s="34"/>
      <c r="C168" s="33"/>
      <c r="D168" s="33"/>
      <c r="E168" s="36" t="str">
        <f aca="false">IF(A168="","",YEAR(A168)&amp;"-"&amp;TEXT(MONTH(A168),"00"))</f>
        <v/>
      </c>
      <c r="F168" s="2" t="str">
        <f aca="true">IF(A168="","",IF(A168&lt;=TODAY(),"Payée","Prévue"))</f>
        <v/>
      </c>
    </row>
    <row r="169" customFormat="false" ht="15" hidden="false" customHeight="false" outlineLevel="0" collapsed="false">
      <c r="A169" s="35"/>
      <c r="B169" s="34"/>
      <c r="C169" s="33"/>
      <c r="D169" s="33"/>
      <c r="E169" s="36" t="str">
        <f aca="false">IF(A169="","",YEAR(A169)&amp;"-"&amp;TEXT(MONTH(A169),"00"))</f>
        <v/>
      </c>
      <c r="F169" s="2" t="str">
        <f aca="true">IF(A169="","",IF(A169&lt;=TODAY(),"Payée","Prévue"))</f>
        <v/>
      </c>
    </row>
    <row r="170" customFormat="false" ht="15" hidden="false" customHeight="false" outlineLevel="0" collapsed="false">
      <c r="A170" s="35"/>
      <c r="B170" s="34"/>
      <c r="C170" s="33"/>
      <c r="D170" s="33"/>
      <c r="E170" s="36" t="str">
        <f aca="false">IF(A170="","",YEAR(A170)&amp;"-"&amp;TEXT(MONTH(A170),"00"))</f>
        <v/>
      </c>
      <c r="F170" s="2" t="str">
        <f aca="true">IF(A170="","",IF(A170&lt;=TODAY(),"Payée","Prévue"))</f>
        <v/>
      </c>
    </row>
    <row r="171" customFormat="false" ht="15" hidden="false" customHeight="false" outlineLevel="0" collapsed="false">
      <c r="A171" s="35"/>
      <c r="B171" s="34"/>
      <c r="C171" s="33"/>
      <c r="D171" s="33"/>
      <c r="E171" s="36" t="str">
        <f aca="false">IF(A171="","",YEAR(A171)&amp;"-"&amp;TEXT(MONTH(A171),"00"))</f>
        <v/>
      </c>
      <c r="F171" s="2" t="str">
        <f aca="true">IF(A171="","",IF(A171&lt;=TODAY(),"Payée","Prévue"))</f>
        <v/>
      </c>
    </row>
    <row r="172" customFormat="false" ht="15" hidden="false" customHeight="false" outlineLevel="0" collapsed="false">
      <c r="A172" s="35"/>
      <c r="B172" s="34"/>
      <c r="C172" s="33"/>
      <c r="D172" s="33"/>
      <c r="E172" s="36" t="str">
        <f aca="false">IF(A172="","",YEAR(A172)&amp;"-"&amp;TEXT(MONTH(A172),"00"))</f>
        <v/>
      </c>
      <c r="F172" s="2" t="str">
        <f aca="true">IF(A172="","",IF(A172&lt;=TODAY(),"Payée","Prévue"))</f>
        <v/>
      </c>
    </row>
    <row r="173" customFormat="false" ht="15" hidden="false" customHeight="false" outlineLevel="0" collapsed="false">
      <c r="A173" s="35"/>
      <c r="B173" s="34"/>
      <c r="C173" s="33"/>
      <c r="D173" s="33"/>
      <c r="E173" s="36" t="str">
        <f aca="false">IF(A173="","",YEAR(A173)&amp;"-"&amp;TEXT(MONTH(A173),"00"))</f>
        <v/>
      </c>
      <c r="F173" s="2" t="str">
        <f aca="true">IF(A173="","",IF(A173&lt;=TODAY(),"Payée","Prévue"))</f>
        <v/>
      </c>
    </row>
    <row r="174" customFormat="false" ht="15" hidden="false" customHeight="false" outlineLevel="0" collapsed="false">
      <c r="A174" s="35"/>
      <c r="B174" s="34"/>
      <c r="C174" s="33"/>
      <c r="D174" s="33"/>
      <c r="E174" s="36" t="str">
        <f aca="false">IF(A174="","",YEAR(A174)&amp;"-"&amp;TEXT(MONTH(A174),"00"))</f>
        <v/>
      </c>
      <c r="F174" s="2" t="str">
        <f aca="true">IF(A174="","",IF(A174&lt;=TODAY(),"Payée","Prévue"))</f>
        <v/>
      </c>
    </row>
    <row r="175" customFormat="false" ht="15" hidden="false" customHeight="false" outlineLevel="0" collapsed="false">
      <c r="A175" s="35"/>
      <c r="B175" s="34"/>
      <c r="C175" s="33"/>
      <c r="D175" s="33"/>
      <c r="E175" s="36" t="str">
        <f aca="false">IF(A175="","",YEAR(A175)&amp;"-"&amp;TEXT(MONTH(A175),"00"))</f>
        <v/>
      </c>
      <c r="F175" s="2" t="str">
        <f aca="true">IF(A175="","",IF(A175&lt;=TODAY(),"Payée","Prévue"))</f>
        <v/>
      </c>
    </row>
    <row r="176" customFormat="false" ht="15" hidden="false" customHeight="false" outlineLevel="0" collapsed="false">
      <c r="A176" s="35"/>
      <c r="B176" s="34"/>
      <c r="C176" s="33"/>
      <c r="D176" s="33"/>
      <c r="E176" s="36" t="str">
        <f aca="false">IF(A176="","",YEAR(A176)&amp;"-"&amp;TEXT(MONTH(A176),"00"))</f>
        <v/>
      </c>
      <c r="F176" s="2" t="str">
        <f aca="true">IF(A176="","",IF(A176&lt;=TODAY(),"Payée","Prévue"))</f>
        <v/>
      </c>
    </row>
    <row r="177" customFormat="false" ht="15" hidden="false" customHeight="false" outlineLevel="0" collapsed="false">
      <c r="A177" s="35"/>
      <c r="B177" s="34"/>
      <c r="C177" s="33"/>
      <c r="D177" s="33"/>
      <c r="E177" s="36" t="str">
        <f aca="false">IF(A177="","",YEAR(A177)&amp;"-"&amp;TEXT(MONTH(A177),"00"))</f>
        <v/>
      </c>
      <c r="F177" s="2" t="str">
        <f aca="true">IF(A177="","",IF(A177&lt;=TODAY(),"Payée","Prévue"))</f>
        <v/>
      </c>
    </row>
    <row r="178" customFormat="false" ht="15" hidden="false" customHeight="false" outlineLevel="0" collapsed="false">
      <c r="A178" s="35"/>
      <c r="B178" s="34"/>
      <c r="C178" s="33"/>
      <c r="D178" s="33"/>
      <c r="E178" s="36" t="str">
        <f aca="false">IF(A178="","",YEAR(A178)&amp;"-"&amp;TEXT(MONTH(A178),"00"))</f>
        <v/>
      </c>
      <c r="F178" s="2" t="str">
        <f aca="true">IF(A178="","",IF(A178&lt;=TODAY(),"Payée","Prévue"))</f>
        <v/>
      </c>
    </row>
    <row r="179" customFormat="false" ht="15" hidden="false" customHeight="false" outlineLevel="0" collapsed="false">
      <c r="A179" s="35"/>
      <c r="B179" s="34"/>
      <c r="C179" s="33"/>
      <c r="D179" s="33"/>
      <c r="E179" s="36" t="str">
        <f aca="false">IF(A179="","",YEAR(A179)&amp;"-"&amp;TEXT(MONTH(A179),"00"))</f>
        <v/>
      </c>
      <c r="F179" s="2" t="str">
        <f aca="true">IF(A179="","",IF(A179&lt;=TODAY(),"Payée","Prévue"))</f>
        <v/>
      </c>
    </row>
    <row r="180" customFormat="false" ht="15" hidden="false" customHeight="false" outlineLevel="0" collapsed="false">
      <c r="A180" s="35"/>
      <c r="B180" s="34"/>
      <c r="C180" s="33"/>
      <c r="D180" s="33"/>
      <c r="E180" s="36" t="str">
        <f aca="false">IF(A180="","",YEAR(A180)&amp;"-"&amp;TEXT(MONTH(A180),"00"))</f>
        <v/>
      </c>
      <c r="F180" s="2" t="str">
        <f aca="true">IF(A180="","",IF(A180&lt;=TODAY(),"Payée","Prévue"))</f>
        <v/>
      </c>
    </row>
    <row r="181" customFormat="false" ht="15" hidden="false" customHeight="false" outlineLevel="0" collapsed="false">
      <c r="A181" s="35"/>
      <c r="B181" s="34"/>
      <c r="C181" s="33"/>
      <c r="D181" s="33"/>
      <c r="E181" s="36" t="str">
        <f aca="false">IF(A181="","",YEAR(A181)&amp;"-"&amp;TEXT(MONTH(A181),"00"))</f>
        <v/>
      </c>
      <c r="F181" s="2" t="str">
        <f aca="true">IF(A181="","",IF(A181&lt;=TODAY(),"Payée","Prévue"))</f>
        <v/>
      </c>
    </row>
    <row r="182" customFormat="false" ht="15" hidden="false" customHeight="false" outlineLevel="0" collapsed="false">
      <c r="A182" s="35"/>
      <c r="B182" s="34"/>
      <c r="C182" s="33"/>
      <c r="D182" s="33"/>
      <c r="E182" s="36" t="str">
        <f aca="false">IF(A182="","",YEAR(A182)&amp;"-"&amp;TEXT(MONTH(A182),"00"))</f>
        <v/>
      </c>
      <c r="F182" s="2" t="str">
        <f aca="true">IF(A182="","",IF(A182&lt;=TODAY(),"Payée","Prévue"))</f>
        <v/>
      </c>
    </row>
    <row r="183" customFormat="false" ht="15" hidden="false" customHeight="false" outlineLevel="0" collapsed="false">
      <c r="A183" s="35"/>
      <c r="B183" s="34"/>
      <c r="C183" s="33"/>
      <c r="D183" s="33"/>
      <c r="E183" s="36" t="str">
        <f aca="false">IF(A183="","",YEAR(A183)&amp;"-"&amp;TEXT(MONTH(A183),"00"))</f>
        <v/>
      </c>
      <c r="F183" s="2" t="str">
        <f aca="true">IF(A183="","",IF(A183&lt;=TODAY(),"Payée","Prévue"))</f>
        <v/>
      </c>
    </row>
    <row r="184" customFormat="false" ht="15" hidden="false" customHeight="false" outlineLevel="0" collapsed="false">
      <c r="A184" s="35"/>
      <c r="B184" s="34"/>
      <c r="C184" s="33"/>
      <c r="D184" s="33"/>
      <c r="E184" s="36" t="str">
        <f aca="false">IF(A184="","",YEAR(A184)&amp;"-"&amp;TEXT(MONTH(A184),"00"))</f>
        <v/>
      </c>
      <c r="F184" s="2" t="str">
        <f aca="true">IF(A184="","",IF(A184&lt;=TODAY(),"Payée","Prévue"))</f>
        <v/>
      </c>
    </row>
    <row r="185" customFormat="false" ht="15" hidden="false" customHeight="false" outlineLevel="0" collapsed="false">
      <c r="A185" s="35"/>
      <c r="B185" s="34"/>
      <c r="C185" s="33"/>
      <c r="D185" s="33"/>
      <c r="E185" s="36" t="str">
        <f aca="false">IF(A185="","",YEAR(A185)&amp;"-"&amp;TEXT(MONTH(A185),"00"))</f>
        <v/>
      </c>
      <c r="F185" s="2" t="str">
        <f aca="true">IF(A185="","",IF(A185&lt;=TODAY(),"Payée","Prévue"))</f>
        <v/>
      </c>
    </row>
    <row r="186" customFormat="false" ht="15" hidden="false" customHeight="false" outlineLevel="0" collapsed="false">
      <c r="A186" s="35"/>
      <c r="B186" s="34"/>
      <c r="C186" s="33"/>
      <c r="D186" s="33"/>
      <c r="E186" s="36" t="str">
        <f aca="false">IF(A186="","",YEAR(A186)&amp;"-"&amp;TEXT(MONTH(A186),"00"))</f>
        <v/>
      </c>
      <c r="F186" s="2" t="str">
        <f aca="true">IF(A186="","",IF(A186&lt;=TODAY(),"Payée","Prévue"))</f>
        <v/>
      </c>
    </row>
    <row r="187" customFormat="false" ht="15" hidden="false" customHeight="false" outlineLevel="0" collapsed="false">
      <c r="A187" s="35"/>
      <c r="B187" s="34"/>
      <c r="C187" s="33"/>
      <c r="D187" s="33"/>
      <c r="E187" s="36" t="str">
        <f aca="false">IF(A187="","",YEAR(A187)&amp;"-"&amp;TEXT(MONTH(A187),"00"))</f>
        <v/>
      </c>
      <c r="F187" s="2" t="str">
        <f aca="true">IF(A187="","",IF(A187&lt;=TODAY(),"Payée","Prévue"))</f>
        <v/>
      </c>
    </row>
    <row r="188" customFormat="false" ht="15" hidden="false" customHeight="false" outlineLevel="0" collapsed="false">
      <c r="A188" s="35"/>
      <c r="B188" s="34"/>
      <c r="C188" s="33"/>
      <c r="D188" s="33"/>
      <c r="E188" s="36" t="str">
        <f aca="false">IF(A188="","",YEAR(A188)&amp;"-"&amp;TEXT(MONTH(A188),"00"))</f>
        <v/>
      </c>
      <c r="F188" s="2" t="str">
        <f aca="true">IF(A188="","",IF(A188&lt;=TODAY(),"Payée","Prévue"))</f>
        <v/>
      </c>
    </row>
    <row r="189" customFormat="false" ht="15" hidden="false" customHeight="false" outlineLevel="0" collapsed="false">
      <c r="A189" s="35"/>
      <c r="B189" s="34"/>
      <c r="C189" s="33"/>
      <c r="D189" s="33"/>
      <c r="E189" s="36" t="str">
        <f aca="false">IF(A189="","",YEAR(A189)&amp;"-"&amp;TEXT(MONTH(A189),"00"))</f>
        <v/>
      </c>
      <c r="F189" s="2" t="str">
        <f aca="true">IF(A189="","",IF(A189&lt;=TODAY(),"Payée","Prévue"))</f>
        <v/>
      </c>
    </row>
    <row r="190" customFormat="false" ht="15" hidden="false" customHeight="false" outlineLevel="0" collapsed="false">
      <c r="A190" s="35"/>
      <c r="B190" s="34"/>
      <c r="C190" s="33"/>
      <c r="D190" s="33"/>
      <c r="E190" s="36" t="str">
        <f aca="false">IF(A190="","",YEAR(A190)&amp;"-"&amp;TEXT(MONTH(A190),"00"))</f>
        <v/>
      </c>
      <c r="F190" s="2" t="str">
        <f aca="true">IF(A190="","",IF(A190&lt;=TODAY(),"Payée","Prévue"))</f>
        <v/>
      </c>
    </row>
    <row r="191" customFormat="false" ht="15" hidden="false" customHeight="false" outlineLevel="0" collapsed="false">
      <c r="A191" s="35"/>
      <c r="B191" s="34"/>
      <c r="C191" s="33"/>
      <c r="D191" s="33"/>
      <c r="E191" s="36" t="str">
        <f aca="false">IF(A191="","",YEAR(A191)&amp;"-"&amp;TEXT(MONTH(A191),"00"))</f>
        <v/>
      </c>
      <c r="F191" s="2" t="str">
        <f aca="true">IF(A191="","",IF(A191&lt;=TODAY(),"Payée","Prévue"))</f>
        <v/>
      </c>
    </row>
    <row r="192" customFormat="false" ht="15" hidden="false" customHeight="false" outlineLevel="0" collapsed="false">
      <c r="A192" s="35"/>
      <c r="B192" s="34"/>
      <c r="C192" s="33"/>
      <c r="D192" s="33"/>
      <c r="E192" s="36" t="str">
        <f aca="false">IF(A192="","",YEAR(A192)&amp;"-"&amp;TEXT(MONTH(A192),"00"))</f>
        <v/>
      </c>
      <c r="F192" s="2" t="str">
        <f aca="true">IF(A192="","",IF(A192&lt;=TODAY(),"Payée","Prévue"))</f>
        <v/>
      </c>
    </row>
    <row r="193" customFormat="false" ht="15" hidden="false" customHeight="false" outlineLevel="0" collapsed="false">
      <c r="A193" s="35"/>
      <c r="B193" s="34"/>
      <c r="C193" s="33"/>
      <c r="D193" s="33"/>
      <c r="E193" s="36" t="str">
        <f aca="false">IF(A193="","",YEAR(A193)&amp;"-"&amp;TEXT(MONTH(A193),"00"))</f>
        <v/>
      </c>
      <c r="F193" s="2" t="str">
        <f aca="true">IF(A193="","",IF(A193&lt;=TODAY(),"Payée","Prévue"))</f>
        <v/>
      </c>
    </row>
    <row r="194" customFormat="false" ht="15" hidden="false" customHeight="false" outlineLevel="0" collapsed="false">
      <c r="A194" s="35"/>
      <c r="B194" s="34"/>
      <c r="C194" s="33"/>
      <c r="D194" s="33"/>
      <c r="E194" s="36" t="str">
        <f aca="false">IF(A194="","",YEAR(A194)&amp;"-"&amp;TEXT(MONTH(A194),"00"))</f>
        <v/>
      </c>
      <c r="F194" s="2" t="str">
        <f aca="true">IF(A194="","",IF(A194&lt;=TODAY(),"Payée","Prévue"))</f>
        <v/>
      </c>
    </row>
    <row r="195" customFormat="false" ht="15" hidden="false" customHeight="false" outlineLevel="0" collapsed="false">
      <c r="A195" s="35"/>
      <c r="B195" s="34"/>
      <c r="C195" s="33"/>
      <c r="D195" s="33"/>
      <c r="E195" s="36" t="str">
        <f aca="false">IF(A195="","",YEAR(A195)&amp;"-"&amp;TEXT(MONTH(A195),"00"))</f>
        <v/>
      </c>
      <c r="F195" s="2" t="str">
        <f aca="true">IF(A195="","",IF(A195&lt;=TODAY(),"Payée","Prévue"))</f>
        <v/>
      </c>
    </row>
    <row r="196" customFormat="false" ht="15" hidden="false" customHeight="false" outlineLevel="0" collapsed="false">
      <c r="A196" s="35"/>
      <c r="B196" s="34"/>
      <c r="C196" s="33"/>
      <c r="D196" s="33"/>
      <c r="E196" s="36" t="str">
        <f aca="false">IF(A196="","",YEAR(A196)&amp;"-"&amp;TEXT(MONTH(A196),"00"))</f>
        <v/>
      </c>
      <c r="F196" s="2" t="str">
        <f aca="true">IF(A196="","",IF(A196&lt;=TODAY(),"Payée","Prévue"))</f>
        <v/>
      </c>
    </row>
    <row r="197" customFormat="false" ht="15" hidden="false" customHeight="false" outlineLevel="0" collapsed="false">
      <c r="A197" s="35"/>
      <c r="B197" s="34"/>
      <c r="C197" s="33"/>
      <c r="D197" s="33"/>
      <c r="E197" s="36" t="str">
        <f aca="false">IF(A197="","",YEAR(A197)&amp;"-"&amp;TEXT(MONTH(A197),"00"))</f>
        <v/>
      </c>
      <c r="F197" s="2" t="str">
        <f aca="true">IF(A197="","",IF(A197&lt;=TODAY(),"Payée","Prévue"))</f>
        <v/>
      </c>
    </row>
    <row r="198" customFormat="false" ht="15" hidden="false" customHeight="false" outlineLevel="0" collapsed="false">
      <c r="A198" s="35"/>
      <c r="B198" s="34"/>
      <c r="C198" s="33"/>
      <c r="D198" s="33"/>
      <c r="E198" s="36" t="str">
        <f aca="false">IF(A198="","",YEAR(A198)&amp;"-"&amp;TEXT(MONTH(A198),"00"))</f>
        <v/>
      </c>
      <c r="F198" s="2" t="str">
        <f aca="true">IF(A198="","",IF(A198&lt;=TODAY(),"Payée","Prévue"))</f>
        <v/>
      </c>
    </row>
    <row r="199" customFormat="false" ht="15" hidden="false" customHeight="false" outlineLevel="0" collapsed="false">
      <c r="A199" s="35"/>
      <c r="B199" s="34"/>
      <c r="C199" s="33"/>
      <c r="D199" s="33"/>
      <c r="E199" s="36" t="str">
        <f aca="false">IF(A199="","",YEAR(A199)&amp;"-"&amp;TEXT(MONTH(A199),"00"))</f>
        <v/>
      </c>
      <c r="F199" s="2" t="str">
        <f aca="true">IF(A199="","",IF(A199&lt;=TODAY(),"Payée","Prévue"))</f>
        <v/>
      </c>
    </row>
    <row r="200" customFormat="false" ht="15" hidden="false" customHeight="false" outlineLevel="0" collapsed="false">
      <c r="A200" s="35"/>
      <c r="B200" s="34"/>
      <c r="C200" s="33"/>
      <c r="D200" s="33"/>
      <c r="E200" s="36" t="str">
        <f aca="false">IF(A200="","",YEAR(A200)&amp;"-"&amp;TEXT(MONTH(A200),"00"))</f>
        <v/>
      </c>
      <c r="F200" s="2" t="str">
        <f aca="true">IF(A200="","",IF(A200&lt;=TODAY(),"Payée","Prévue"))</f>
        <v/>
      </c>
    </row>
    <row r="201" customFormat="false" ht="15" hidden="false" customHeight="false" outlineLevel="0" collapsed="false">
      <c r="A201" s="35"/>
      <c r="B201" s="34"/>
      <c r="C201" s="33"/>
      <c r="D201" s="33"/>
      <c r="E201" s="36" t="str">
        <f aca="false">IF(A201="","",YEAR(A201)&amp;"-"&amp;TEXT(MONTH(A201),"00"))</f>
        <v/>
      </c>
      <c r="F201" s="2" t="str">
        <f aca="true">IF(A201="","",IF(A201&lt;=TODAY(),"Payée","Prévue"))</f>
        <v/>
      </c>
    </row>
    <row r="202" customFormat="false" ht="15" hidden="false" customHeight="false" outlineLevel="0" collapsed="false">
      <c r="A202" s="35"/>
      <c r="B202" s="34"/>
      <c r="C202" s="33"/>
      <c r="D202" s="33"/>
      <c r="E202" s="36" t="str">
        <f aca="false">IF(A202="","",YEAR(A202)&amp;"-"&amp;TEXT(MONTH(A202),"00"))</f>
        <v/>
      </c>
      <c r="F202" s="2" t="str">
        <f aca="true">IF(A202="","",IF(A202&lt;=TODAY(),"Payée","Prévue"))</f>
        <v/>
      </c>
    </row>
    <row r="203" customFormat="false" ht="15" hidden="false" customHeight="false" outlineLevel="0" collapsed="false">
      <c r="A203" s="35"/>
      <c r="B203" s="34"/>
      <c r="C203" s="33"/>
      <c r="D203" s="33"/>
      <c r="E203" s="36" t="str">
        <f aca="false">IF(A203="","",YEAR(A203)&amp;"-"&amp;TEXT(MONTH(A203),"00"))</f>
        <v/>
      </c>
      <c r="F203" s="2" t="str">
        <f aca="true">IF(A203="","",IF(A203&lt;=TODAY(),"Payée","Prévue"))</f>
        <v/>
      </c>
    </row>
    <row r="204" customFormat="false" ht="15" hidden="false" customHeight="false" outlineLevel="0" collapsed="false">
      <c r="A204" s="35"/>
      <c r="B204" s="34"/>
      <c r="C204" s="33"/>
      <c r="D204" s="33"/>
      <c r="E204" s="36" t="str">
        <f aca="false">IF(A204="","",YEAR(A204)&amp;"-"&amp;TEXT(MONTH(A204),"00"))</f>
        <v/>
      </c>
      <c r="F204" s="2" t="str">
        <f aca="true">IF(A204="","",IF(A204&lt;=TODAY(),"Payée","Prévue"))</f>
        <v/>
      </c>
    </row>
    <row r="205" customFormat="false" ht="15" hidden="false" customHeight="false" outlineLevel="0" collapsed="false">
      <c r="A205" s="35"/>
      <c r="B205" s="34"/>
      <c r="C205" s="33"/>
      <c r="D205" s="33"/>
      <c r="E205" s="36" t="str">
        <f aca="false">IF(A205="","",YEAR(A205)&amp;"-"&amp;TEXT(MONTH(A205),"00"))</f>
        <v/>
      </c>
      <c r="F205" s="2" t="str">
        <f aca="true">IF(A205="","",IF(A205&lt;=TODAY(),"Payée","Prévue"))</f>
        <v/>
      </c>
    </row>
    <row r="206" customFormat="false" ht="15" hidden="false" customHeight="false" outlineLevel="0" collapsed="false">
      <c r="A206" s="35"/>
      <c r="B206" s="34"/>
      <c r="C206" s="33"/>
      <c r="D206" s="33"/>
      <c r="E206" s="36" t="str">
        <f aca="false">IF(A206="","",YEAR(A206)&amp;"-"&amp;TEXT(MONTH(A206),"00"))</f>
        <v/>
      </c>
      <c r="F206" s="2" t="str">
        <f aca="true">IF(A206="","",IF(A206&lt;=TODAY(),"Payée","Prévue"))</f>
        <v/>
      </c>
    </row>
    <row r="207" customFormat="false" ht="15" hidden="false" customHeight="false" outlineLevel="0" collapsed="false">
      <c r="A207" s="35"/>
      <c r="B207" s="34"/>
      <c r="C207" s="33"/>
      <c r="D207" s="33"/>
      <c r="E207" s="36" t="str">
        <f aca="false">IF(A207="","",YEAR(A207)&amp;"-"&amp;TEXT(MONTH(A207),"00"))</f>
        <v/>
      </c>
      <c r="F207" s="2" t="str">
        <f aca="true">IF(A207="","",IF(A207&lt;=TODAY(),"Payée","Prévue"))</f>
        <v/>
      </c>
    </row>
    <row r="208" customFormat="false" ht="15" hidden="false" customHeight="false" outlineLevel="0" collapsed="false">
      <c r="A208" s="35"/>
      <c r="B208" s="34"/>
      <c r="C208" s="33"/>
      <c r="D208" s="33"/>
      <c r="E208" s="36" t="str">
        <f aca="false">IF(A208="","",YEAR(A208)&amp;"-"&amp;TEXT(MONTH(A208),"00"))</f>
        <v/>
      </c>
      <c r="F208" s="2" t="str">
        <f aca="true">IF(A208="","",IF(A208&lt;=TODAY(),"Payée","Prévue"))</f>
        <v/>
      </c>
    </row>
    <row r="209" customFormat="false" ht="15" hidden="false" customHeight="false" outlineLevel="0" collapsed="false">
      <c r="A209" s="35"/>
      <c r="B209" s="34"/>
      <c r="C209" s="33"/>
      <c r="D209" s="33"/>
      <c r="E209" s="36" t="str">
        <f aca="false">IF(A209="","",YEAR(A209)&amp;"-"&amp;TEXT(MONTH(A209),"00"))</f>
        <v/>
      </c>
      <c r="F209" s="2" t="str">
        <f aca="true">IF(A209="","",IF(A209&lt;=TODAY(),"Payée","Prévue"))</f>
        <v/>
      </c>
    </row>
    <row r="210" customFormat="false" ht="15" hidden="false" customHeight="false" outlineLevel="0" collapsed="false">
      <c r="A210" s="35"/>
      <c r="B210" s="34"/>
      <c r="C210" s="33"/>
      <c r="D210" s="33"/>
      <c r="E210" s="36" t="str">
        <f aca="false">IF(A210="","",YEAR(A210)&amp;"-"&amp;TEXT(MONTH(A210),"00"))</f>
        <v/>
      </c>
      <c r="F210" s="2" t="str">
        <f aca="true">IF(A210="","",IF(A210&lt;=TODAY(),"Payée","Prévue"))</f>
        <v/>
      </c>
    </row>
    <row r="211" customFormat="false" ht="15" hidden="false" customHeight="false" outlineLevel="0" collapsed="false">
      <c r="A211" s="35"/>
      <c r="B211" s="34"/>
      <c r="C211" s="33"/>
      <c r="D211" s="33"/>
      <c r="E211" s="36" t="str">
        <f aca="false">IF(A211="","",YEAR(A211)&amp;"-"&amp;TEXT(MONTH(A211),"00"))</f>
        <v/>
      </c>
      <c r="F211" s="2" t="str">
        <f aca="true">IF(A211="","",IF(A211&lt;=TODAY(),"Payée","Prévue"))</f>
        <v/>
      </c>
    </row>
    <row r="212" customFormat="false" ht="15" hidden="false" customHeight="false" outlineLevel="0" collapsed="false">
      <c r="A212" s="35"/>
      <c r="B212" s="34"/>
      <c r="C212" s="33"/>
      <c r="D212" s="33"/>
      <c r="E212" s="36" t="str">
        <f aca="false">IF(A212="","",YEAR(A212)&amp;"-"&amp;TEXT(MONTH(A212),"00"))</f>
        <v/>
      </c>
      <c r="F212" s="2" t="str">
        <f aca="true">IF(A212="","",IF(A212&lt;=TODAY(),"Payée","Prévue"))</f>
        <v/>
      </c>
    </row>
    <row r="213" customFormat="false" ht="15" hidden="false" customHeight="false" outlineLevel="0" collapsed="false">
      <c r="A213" s="35"/>
      <c r="B213" s="34"/>
      <c r="C213" s="33"/>
      <c r="D213" s="33"/>
      <c r="E213" s="36" t="str">
        <f aca="false">IF(A213="","",YEAR(A213)&amp;"-"&amp;TEXT(MONTH(A213),"00"))</f>
        <v/>
      </c>
      <c r="F213" s="2" t="str">
        <f aca="true">IF(A213="","",IF(A213&lt;=TODAY(),"Payée","Prévue"))</f>
        <v/>
      </c>
    </row>
    <row r="214" customFormat="false" ht="15" hidden="false" customHeight="false" outlineLevel="0" collapsed="false">
      <c r="A214" s="35"/>
      <c r="B214" s="34"/>
      <c r="C214" s="33"/>
      <c r="D214" s="33"/>
      <c r="E214" s="36" t="str">
        <f aca="false">IF(A214="","",YEAR(A214)&amp;"-"&amp;TEXT(MONTH(A214),"00"))</f>
        <v/>
      </c>
      <c r="F214" s="2" t="str">
        <f aca="true">IF(A214="","",IF(A214&lt;=TODAY(),"Payée","Prévue"))</f>
        <v/>
      </c>
    </row>
    <row r="215" customFormat="false" ht="15" hidden="false" customHeight="false" outlineLevel="0" collapsed="false">
      <c r="A215" s="35"/>
      <c r="B215" s="34"/>
      <c r="C215" s="33"/>
      <c r="D215" s="33"/>
      <c r="E215" s="36" t="str">
        <f aca="false">IF(A215="","",YEAR(A215)&amp;"-"&amp;TEXT(MONTH(A215),"00"))</f>
        <v/>
      </c>
      <c r="F215" s="2" t="str">
        <f aca="true">IF(A215="","",IF(A215&lt;=TODAY(),"Payée","Prévue"))</f>
        <v/>
      </c>
    </row>
    <row r="216" customFormat="false" ht="15" hidden="false" customHeight="false" outlineLevel="0" collapsed="false">
      <c r="A216" s="35"/>
      <c r="B216" s="34"/>
      <c r="C216" s="33"/>
      <c r="D216" s="33"/>
      <c r="E216" s="36" t="str">
        <f aca="false">IF(A216="","",YEAR(A216)&amp;"-"&amp;TEXT(MONTH(A216),"00"))</f>
        <v/>
      </c>
      <c r="F216" s="2" t="str">
        <f aca="true">IF(A216="","",IF(A216&lt;=TODAY(),"Payée","Prévue"))</f>
        <v/>
      </c>
    </row>
    <row r="217" customFormat="false" ht="15" hidden="false" customHeight="false" outlineLevel="0" collapsed="false">
      <c r="A217" s="35"/>
      <c r="B217" s="34"/>
      <c r="C217" s="33"/>
      <c r="D217" s="33"/>
      <c r="E217" s="36" t="str">
        <f aca="false">IF(A217="","",YEAR(A217)&amp;"-"&amp;TEXT(MONTH(A217),"00"))</f>
        <v/>
      </c>
      <c r="F217" s="2" t="str">
        <f aca="true">IF(A217="","",IF(A217&lt;=TODAY(),"Payée","Prévue"))</f>
        <v/>
      </c>
    </row>
    <row r="218" customFormat="false" ht="15" hidden="false" customHeight="false" outlineLevel="0" collapsed="false">
      <c r="A218" s="35"/>
      <c r="B218" s="34"/>
      <c r="C218" s="33"/>
      <c r="D218" s="33"/>
      <c r="E218" s="36" t="str">
        <f aca="false">IF(A218="","",YEAR(A218)&amp;"-"&amp;TEXT(MONTH(A218),"00"))</f>
        <v/>
      </c>
      <c r="F218" s="2" t="str">
        <f aca="true">IF(A218="","",IF(A218&lt;=TODAY(),"Payée","Prévue"))</f>
        <v/>
      </c>
    </row>
    <row r="219" customFormat="false" ht="15" hidden="false" customHeight="false" outlineLevel="0" collapsed="false">
      <c r="A219" s="35"/>
      <c r="B219" s="34"/>
      <c r="C219" s="33"/>
      <c r="D219" s="33"/>
      <c r="E219" s="36" t="str">
        <f aca="false">IF(A219="","",YEAR(A219)&amp;"-"&amp;TEXT(MONTH(A219),"00"))</f>
        <v/>
      </c>
      <c r="F219" s="2" t="str">
        <f aca="true">IF(A219="","",IF(A219&lt;=TODAY(),"Payée","Prévue"))</f>
        <v/>
      </c>
    </row>
    <row r="220" customFormat="false" ht="15" hidden="false" customHeight="false" outlineLevel="0" collapsed="false">
      <c r="A220" s="35"/>
      <c r="B220" s="34"/>
      <c r="C220" s="33"/>
      <c r="D220" s="33"/>
      <c r="E220" s="36" t="str">
        <f aca="false">IF(A220="","",YEAR(A220)&amp;"-"&amp;TEXT(MONTH(A220),"00"))</f>
        <v/>
      </c>
      <c r="F220" s="2" t="str">
        <f aca="true">IF(A220="","",IF(A220&lt;=TODAY(),"Payée","Prévue"))</f>
        <v/>
      </c>
    </row>
    <row r="221" customFormat="false" ht="15" hidden="false" customHeight="false" outlineLevel="0" collapsed="false">
      <c r="A221" s="35"/>
      <c r="B221" s="34"/>
      <c r="C221" s="33"/>
      <c r="D221" s="33"/>
      <c r="E221" s="36" t="str">
        <f aca="false">IF(A221="","",YEAR(A221)&amp;"-"&amp;TEXT(MONTH(A221),"00"))</f>
        <v/>
      </c>
      <c r="F221" s="2" t="str">
        <f aca="true">IF(A221="","",IF(A221&lt;=TODAY(),"Payée","Prévue"))</f>
        <v/>
      </c>
    </row>
    <row r="222" customFormat="false" ht="15" hidden="false" customHeight="false" outlineLevel="0" collapsed="false">
      <c r="A222" s="35"/>
      <c r="B222" s="34"/>
      <c r="C222" s="33"/>
      <c r="D222" s="33"/>
      <c r="E222" s="36" t="str">
        <f aca="false">IF(A222="","",YEAR(A222)&amp;"-"&amp;TEXT(MONTH(A222),"00"))</f>
        <v/>
      </c>
      <c r="F222" s="2" t="str">
        <f aca="true">IF(A222="","",IF(A222&lt;=TODAY(),"Payée","Prévue"))</f>
        <v/>
      </c>
    </row>
    <row r="223" customFormat="false" ht="15" hidden="false" customHeight="false" outlineLevel="0" collapsed="false">
      <c r="A223" s="35"/>
      <c r="B223" s="34"/>
      <c r="C223" s="33"/>
      <c r="D223" s="33"/>
      <c r="E223" s="36" t="str">
        <f aca="false">IF(A223="","",YEAR(A223)&amp;"-"&amp;TEXT(MONTH(A223),"00"))</f>
        <v/>
      </c>
      <c r="F223" s="2" t="str">
        <f aca="true">IF(A223="","",IF(A223&lt;=TODAY(),"Payée","Prévue"))</f>
        <v/>
      </c>
    </row>
    <row r="224" customFormat="false" ht="15" hidden="false" customHeight="false" outlineLevel="0" collapsed="false">
      <c r="A224" s="35"/>
      <c r="B224" s="34"/>
      <c r="C224" s="33"/>
      <c r="D224" s="33"/>
      <c r="E224" s="36" t="str">
        <f aca="false">IF(A224="","",YEAR(A224)&amp;"-"&amp;TEXT(MONTH(A224),"00"))</f>
        <v/>
      </c>
      <c r="F224" s="2" t="str">
        <f aca="true">IF(A224="","",IF(A224&lt;=TODAY(),"Payée","Prévue"))</f>
        <v/>
      </c>
    </row>
    <row r="225" customFormat="false" ht="15" hidden="false" customHeight="false" outlineLevel="0" collapsed="false">
      <c r="A225" s="35"/>
      <c r="B225" s="34"/>
      <c r="C225" s="33"/>
      <c r="D225" s="33"/>
      <c r="E225" s="36" t="str">
        <f aca="false">IF(A225="","",YEAR(A225)&amp;"-"&amp;TEXT(MONTH(A225),"00"))</f>
        <v/>
      </c>
      <c r="F225" s="2" t="str">
        <f aca="true">IF(A225="","",IF(A225&lt;=TODAY(),"Payée","Prévue"))</f>
        <v/>
      </c>
    </row>
    <row r="226" customFormat="false" ht="15" hidden="false" customHeight="false" outlineLevel="0" collapsed="false">
      <c r="A226" s="35"/>
      <c r="B226" s="34"/>
      <c r="C226" s="33"/>
      <c r="D226" s="33"/>
      <c r="E226" s="36" t="str">
        <f aca="false">IF(A226="","",YEAR(A226)&amp;"-"&amp;TEXT(MONTH(A226),"00"))</f>
        <v/>
      </c>
      <c r="F226" s="2" t="str">
        <f aca="true">IF(A226="","",IF(A226&lt;=TODAY(),"Payée","Prévue"))</f>
        <v/>
      </c>
    </row>
    <row r="227" customFormat="false" ht="15" hidden="false" customHeight="false" outlineLevel="0" collapsed="false">
      <c r="A227" s="35"/>
      <c r="B227" s="34"/>
      <c r="C227" s="33"/>
      <c r="D227" s="33"/>
      <c r="E227" s="36" t="str">
        <f aca="false">IF(A227="","",YEAR(A227)&amp;"-"&amp;TEXT(MONTH(A227),"00"))</f>
        <v/>
      </c>
      <c r="F227" s="2" t="str">
        <f aca="true">IF(A227="","",IF(A227&lt;=TODAY(),"Payée","Prévue"))</f>
        <v/>
      </c>
    </row>
    <row r="228" customFormat="false" ht="15" hidden="false" customHeight="false" outlineLevel="0" collapsed="false">
      <c r="A228" s="35"/>
      <c r="B228" s="34"/>
      <c r="C228" s="33"/>
      <c r="D228" s="33"/>
      <c r="E228" s="36" t="str">
        <f aca="false">IF(A228="","",YEAR(A228)&amp;"-"&amp;TEXT(MONTH(A228),"00"))</f>
        <v/>
      </c>
      <c r="F228" s="2" t="str">
        <f aca="true">IF(A228="","",IF(A228&lt;=TODAY(),"Payée","Prévue"))</f>
        <v/>
      </c>
    </row>
    <row r="229" customFormat="false" ht="15" hidden="false" customHeight="false" outlineLevel="0" collapsed="false">
      <c r="A229" s="35"/>
      <c r="B229" s="34"/>
      <c r="C229" s="33"/>
      <c r="D229" s="33"/>
      <c r="E229" s="36" t="str">
        <f aca="false">IF(A229="","",YEAR(A229)&amp;"-"&amp;TEXT(MONTH(A229),"00"))</f>
        <v/>
      </c>
      <c r="F229" s="2" t="str">
        <f aca="true">IF(A229="","",IF(A229&lt;=TODAY(),"Payée","Prévue"))</f>
        <v/>
      </c>
    </row>
    <row r="230" customFormat="false" ht="15" hidden="false" customHeight="false" outlineLevel="0" collapsed="false">
      <c r="A230" s="35"/>
      <c r="B230" s="34"/>
      <c r="C230" s="33"/>
      <c r="D230" s="33"/>
      <c r="E230" s="36" t="str">
        <f aca="false">IF(A230="","",YEAR(A230)&amp;"-"&amp;TEXT(MONTH(A230),"00"))</f>
        <v/>
      </c>
      <c r="F230" s="2" t="str">
        <f aca="true">IF(A230="","",IF(A230&lt;=TODAY(),"Payée","Prévue"))</f>
        <v/>
      </c>
    </row>
    <row r="231" customFormat="false" ht="15" hidden="false" customHeight="false" outlineLevel="0" collapsed="false">
      <c r="A231" s="35"/>
      <c r="B231" s="34"/>
      <c r="C231" s="33"/>
      <c r="D231" s="33"/>
      <c r="E231" s="36" t="str">
        <f aca="false">IF(A231="","",YEAR(A231)&amp;"-"&amp;TEXT(MONTH(A231),"00"))</f>
        <v/>
      </c>
      <c r="F231" s="2" t="str">
        <f aca="true">IF(A231="","",IF(A231&lt;=TODAY(),"Payée","Prévue"))</f>
        <v/>
      </c>
    </row>
    <row r="232" customFormat="false" ht="15" hidden="false" customHeight="false" outlineLevel="0" collapsed="false">
      <c r="A232" s="35"/>
      <c r="B232" s="34"/>
      <c r="C232" s="33"/>
      <c r="D232" s="33"/>
      <c r="E232" s="36" t="str">
        <f aca="false">IF(A232="","",YEAR(A232)&amp;"-"&amp;TEXT(MONTH(A232),"00"))</f>
        <v/>
      </c>
      <c r="F232" s="2" t="str">
        <f aca="true">IF(A232="","",IF(A232&lt;=TODAY(),"Payée","Prévue"))</f>
        <v/>
      </c>
    </row>
    <row r="233" customFormat="false" ht="15" hidden="false" customHeight="false" outlineLevel="0" collapsed="false">
      <c r="A233" s="35"/>
      <c r="B233" s="34"/>
      <c r="C233" s="33"/>
      <c r="D233" s="33"/>
      <c r="E233" s="36" t="str">
        <f aca="false">IF(A233="","",YEAR(A233)&amp;"-"&amp;TEXT(MONTH(A233),"00"))</f>
        <v/>
      </c>
      <c r="F233" s="2" t="str">
        <f aca="true">IF(A233="","",IF(A233&lt;=TODAY(),"Payée","Prévue"))</f>
        <v/>
      </c>
    </row>
    <row r="234" customFormat="false" ht="15" hidden="false" customHeight="false" outlineLevel="0" collapsed="false">
      <c r="A234" s="35"/>
      <c r="B234" s="34"/>
      <c r="C234" s="33"/>
      <c r="D234" s="33"/>
      <c r="E234" s="36" t="str">
        <f aca="false">IF(A234="","",YEAR(A234)&amp;"-"&amp;TEXT(MONTH(A234),"00"))</f>
        <v/>
      </c>
      <c r="F234" s="2" t="str">
        <f aca="true">IF(A234="","",IF(A234&lt;=TODAY(),"Payée","Prévue"))</f>
        <v/>
      </c>
    </row>
    <row r="235" customFormat="false" ht="15" hidden="false" customHeight="false" outlineLevel="0" collapsed="false">
      <c r="A235" s="35"/>
      <c r="B235" s="34"/>
      <c r="C235" s="33"/>
      <c r="D235" s="33"/>
      <c r="E235" s="36" t="str">
        <f aca="false">IF(A235="","",YEAR(A235)&amp;"-"&amp;TEXT(MONTH(A235),"00"))</f>
        <v/>
      </c>
      <c r="F235" s="2" t="str">
        <f aca="true">IF(A235="","",IF(A235&lt;=TODAY(),"Payée","Prévue"))</f>
        <v/>
      </c>
    </row>
    <row r="236" customFormat="false" ht="15" hidden="false" customHeight="false" outlineLevel="0" collapsed="false">
      <c r="A236" s="35"/>
      <c r="B236" s="34"/>
      <c r="C236" s="33"/>
      <c r="D236" s="33"/>
      <c r="E236" s="36" t="str">
        <f aca="false">IF(A236="","",YEAR(A236)&amp;"-"&amp;TEXT(MONTH(A236),"00"))</f>
        <v/>
      </c>
      <c r="F236" s="2" t="str">
        <f aca="true">IF(A236="","",IF(A236&lt;=TODAY(),"Payée","Prévue"))</f>
        <v/>
      </c>
    </row>
    <row r="237" customFormat="false" ht="15" hidden="false" customHeight="false" outlineLevel="0" collapsed="false">
      <c r="A237" s="35"/>
      <c r="B237" s="34"/>
      <c r="C237" s="33"/>
      <c r="D237" s="33"/>
      <c r="E237" s="36" t="str">
        <f aca="false">IF(A237="","",YEAR(A237)&amp;"-"&amp;TEXT(MONTH(A237),"00"))</f>
        <v/>
      </c>
      <c r="F237" s="2" t="str">
        <f aca="true">IF(A237="","",IF(A237&lt;=TODAY(),"Payée","Prévue"))</f>
        <v/>
      </c>
    </row>
    <row r="238" customFormat="false" ht="15" hidden="false" customHeight="false" outlineLevel="0" collapsed="false">
      <c r="A238" s="35"/>
      <c r="B238" s="34"/>
      <c r="C238" s="33"/>
      <c r="D238" s="33"/>
      <c r="E238" s="36" t="str">
        <f aca="false">IF(A238="","",YEAR(A238)&amp;"-"&amp;TEXT(MONTH(A238),"00"))</f>
        <v/>
      </c>
      <c r="F238" s="2" t="str">
        <f aca="true">IF(A238="","",IF(A238&lt;=TODAY(),"Payée","Prévue"))</f>
        <v/>
      </c>
    </row>
    <row r="239" customFormat="false" ht="15" hidden="false" customHeight="false" outlineLevel="0" collapsed="false">
      <c r="A239" s="35"/>
      <c r="B239" s="34"/>
      <c r="C239" s="33"/>
      <c r="D239" s="33"/>
      <c r="E239" s="36" t="str">
        <f aca="false">IF(A239="","",YEAR(A239)&amp;"-"&amp;TEXT(MONTH(A239),"00"))</f>
        <v/>
      </c>
      <c r="F239" s="2" t="str">
        <f aca="true">IF(A239="","",IF(A239&lt;=TODAY(),"Payée","Prévue"))</f>
        <v/>
      </c>
    </row>
    <row r="240" customFormat="false" ht="15" hidden="false" customHeight="false" outlineLevel="0" collapsed="false">
      <c r="A240" s="35"/>
      <c r="B240" s="34"/>
      <c r="C240" s="33"/>
      <c r="D240" s="33"/>
      <c r="E240" s="36" t="str">
        <f aca="false">IF(A240="","",YEAR(A240)&amp;"-"&amp;TEXT(MONTH(A240),"00"))</f>
        <v/>
      </c>
      <c r="F240" s="2" t="str">
        <f aca="true">IF(A240="","",IF(A240&lt;=TODAY(),"Payée","Prévue"))</f>
        <v/>
      </c>
    </row>
    <row r="241" customFormat="false" ht="15" hidden="false" customHeight="false" outlineLevel="0" collapsed="false">
      <c r="A241" s="35"/>
      <c r="B241" s="34"/>
      <c r="C241" s="33"/>
      <c r="D241" s="33"/>
      <c r="E241" s="36" t="str">
        <f aca="false">IF(A241="","",YEAR(A241)&amp;"-"&amp;TEXT(MONTH(A241),"00"))</f>
        <v/>
      </c>
      <c r="F241" s="2" t="str">
        <f aca="true">IF(A241="","",IF(A241&lt;=TODAY(),"Payée","Prévue"))</f>
        <v/>
      </c>
    </row>
    <row r="242" customFormat="false" ht="15" hidden="false" customHeight="false" outlineLevel="0" collapsed="false">
      <c r="A242" s="35"/>
      <c r="B242" s="34"/>
      <c r="C242" s="33"/>
      <c r="D242" s="33"/>
      <c r="E242" s="36" t="str">
        <f aca="false">IF(A242="","",YEAR(A242)&amp;"-"&amp;TEXT(MONTH(A242),"00"))</f>
        <v/>
      </c>
      <c r="F242" s="2" t="str">
        <f aca="true">IF(A242="","",IF(A242&lt;=TODAY(),"Payée","Prévue"))</f>
        <v/>
      </c>
    </row>
    <row r="243" customFormat="false" ht="15" hidden="false" customHeight="false" outlineLevel="0" collapsed="false">
      <c r="A243" s="35"/>
      <c r="B243" s="34"/>
      <c r="C243" s="33"/>
      <c r="D243" s="33"/>
      <c r="E243" s="36" t="str">
        <f aca="false">IF(A243="","",YEAR(A243)&amp;"-"&amp;TEXT(MONTH(A243),"00"))</f>
        <v/>
      </c>
      <c r="F243" s="2" t="str">
        <f aca="true">IF(A243="","",IF(A243&lt;=TODAY(),"Payée","Prévue"))</f>
        <v/>
      </c>
    </row>
    <row r="244" customFormat="false" ht="15" hidden="false" customHeight="false" outlineLevel="0" collapsed="false">
      <c r="A244" s="35"/>
      <c r="B244" s="34"/>
      <c r="C244" s="33"/>
      <c r="D244" s="33"/>
      <c r="E244" s="36" t="str">
        <f aca="false">IF(A244="","",YEAR(A244)&amp;"-"&amp;TEXT(MONTH(A244),"00"))</f>
        <v/>
      </c>
      <c r="F244" s="2" t="str">
        <f aca="true">IF(A244="","",IF(A244&lt;=TODAY(),"Payée","Prévue"))</f>
        <v/>
      </c>
    </row>
    <row r="245" customFormat="false" ht="15" hidden="false" customHeight="false" outlineLevel="0" collapsed="false">
      <c r="A245" s="35"/>
      <c r="B245" s="34"/>
      <c r="C245" s="33"/>
      <c r="D245" s="33"/>
      <c r="E245" s="36" t="str">
        <f aca="false">IF(A245="","",YEAR(A245)&amp;"-"&amp;TEXT(MONTH(A245),"00"))</f>
        <v/>
      </c>
      <c r="F245" s="2" t="str">
        <f aca="true">IF(A245="","",IF(A245&lt;=TODAY(),"Payée","Prévue"))</f>
        <v/>
      </c>
    </row>
    <row r="246" customFormat="false" ht="15" hidden="false" customHeight="false" outlineLevel="0" collapsed="false">
      <c r="A246" s="35"/>
      <c r="B246" s="34"/>
      <c r="C246" s="33"/>
      <c r="D246" s="33"/>
      <c r="E246" s="36" t="str">
        <f aca="false">IF(A246="","",YEAR(A246)&amp;"-"&amp;TEXT(MONTH(A246),"00"))</f>
        <v/>
      </c>
      <c r="F246" s="2" t="str">
        <f aca="true">IF(A246="","",IF(A246&lt;=TODAY(),"Payée","Prévue"))</f>
        <v/>
      </c>
    </row>
    <row r="247" customFormat="false" ht="15" hidden="false" customHeight="false" outlineLevel="0" collapsed="false">
      <c r="A247" s="35"/>
      <c r="B247" s="34"/>
      <c r="C247" s="33"/>
      <c r="D247" s="33"/>
      <c r="E247" s="36" t="str">
        <f aca="false">IF(A247="","",YEAR(A247)&amp;"-"&amp;TEXT(MONTH(A247),"00"))</f>
        <v/>
      </c>
      <c r="F247" s="2" t="str">
        <f aca="true">IF(A247="","",IF(A247&lt;=TODAY(),"Payée","Prévue"))</f>
        <v/>
      </c>
    </row>
    <row r="248" customFormat="false" ht="15" hidden="false" customHeight="false" outlineLevel="0" collapsed="false">
      <c r="A248" s="35"/>
      <c r="B248" s="34"/>
      <c r="C248" s="33"/>
      <c r="D248" s="33"/>
      <c r="E248" s="36" t="str">
        <f aca="false">IF(A248="","",YEAR(A248)&amp;"-"&amp;TEXT(MONTH(A248),"00"))</f>
        <v/>
      </c>
      <c r="F248" s="2" t="str">
        <f aca="true">IF(A248="","",IF(A248&lt;=TODAY(),"Payée","Prévue"))</f>
        <v/>
      </c>
    </row>
    <row r="249" customFormat="false" ht="15" hidden="false" customHeight="false" outlineLevel="0" collapsed="false">
      <c r="A249" s="35"/>
      <c r="B249" s="34"/>
      <c r="C249" s="33"/>
      <c r="D249" s="33"/>
      <c r="E249" s="36" t="str">
        <f aca="false">IF(A249="","",YEAR(A249)&amp;"-"&amp;TEXT(MONTH(A249),"00"))</f>
        <v/>
      </c>
      <c r="F249" s="2" t="str">
        <f aca="true">IF(A249="","",IF(A249&lt;=TODAY(),"Payée","Prévue"))</f>
        <v/>
      </c>
    </row>
    <row r="250" customFormat="false" ht="15" hidden="false" customHeight="false" outlineLevel="0" collapsed="false">
      <c r="A250" s="35"/>
      <c r="B250" s="34"/>
      <c r="C250" s="33"/>
      <c r="D250" s="33"/>
      <c r="E250" s="36" t="str">
        <f aca="false">IF(A250="","",YEAR(A250)&amp;"-"&amp;TEXT(MONTH(A250),"00"))</f>
        <v/>
      </c>
      <c r="F250" s="2" t="str">
        <f aca="true">IF(A250="","",IF(A250&lt;=TODAY(),"Payée","Prévue"))</f>
        <v/>
      </c>
    </row>
    <row r="251" customFormat="false" ht="15" hidden="false" customHeight="false" outlineLevel="0" collapsed="false">
      <c r="A251" s="35"/>
      <c r="B251" s="34"/>
      <c r="C251" s="33"/>
      <c r="D251" s="33"/>
      <c r="E251" s="36" t="str">
        <f aca="false">IF(A251="","",YEAR(A251)&amp;"-"&amp;TEXT(MONTH(A251),"00"))</f>
        <v/>
      </c>
      <c r="F251" s="2" t="str">
        <f aca="true">IF(A251="","",IF(A251&lt;=TODAY(),"Payée","Prévue"))</f>
        <v/>
      </c>
    </row>
    <row r="252" customFormat="false" ht="15" hidden="false" customHeight="false" outlineLevel="0" collapsed="false">
      <c r="A252" s="35"/>
      <c r="B252" s="34"/>
      <c r="C252" s="33"/>
      <c r="D252" s="33"/>
      <c r="E252" s="36" t="str">
        <f aca="false">IF(A252="","",YEAR(A252)&amp;"-"&amp;TEXT(MONTH(A252),"00"))</f>
        <v/>
      </c>
      <c r="F252" s="2" t="str">
        <f aca="true">IF(A252="","",IF(A252&lt;=TODAY(),"Payée","Prévue"))</f>
        <v/>
      </c>
    </row>
    <row r="253" customFormat="false" ht="15" hidden="false" customHeight="false" outlineLevel="0" collapsed="false">
      <c r="A253" s="35"/>
      <c r="B253" s="34"/>
      <c r="C253" s="33"/>
      <c r="D253" s="33"/>
      <c r="E253" s="36" t="str">
        <f aca="false">IF(A253="","",YEAR(A253)&amp;"-"&amp;TEXT(MONTH(A253),"00"))</f>
        <v/>
      </c>
      <c r="F253" s="2" t="str">
        <f aca="true">IF(A253="","",IF(A253&lt;=TODAY(),"Payée","Prévue"))</f>
        <v/>
      </c>
    </row>
    <row r="254" customFormat="false" ht="15" hidden="false" customHeight="false" outlineLevel="0" collapsed="false">
      <c r="A254" s="35"/>
      <c r="B254" s="34"/>
      <c r="C254" s="33"/>
      <c r="D254" s="33"/>
      <c r="E254" s="36" t="str">
        <f aca="false">IF(A254="","",YEAR(A254)&amp;"-"&amp;TEXT(MONTH(A254),"00"))</f>
        <v/>
      </c>
      <c r="F254" s="2" t="str">
        <f aca="true">IF(A254="","",IF(A254&lt;=TODAY(),"Payée","Prévue"))</f>
        <v/>
      </c>
    </row>
    <row r="255" customFormat="false" ht="15" hidden="false" customHeight="false" outlineLevel="0" collapsed="false">
      <c r="A255" s="35"/>
      <c r="B255" s="34"/>
      <c r="C255" s="33"/>
      <c r="D255" s="33"/>
      <c r="E255" s="36" t="str">
        <f aca="false">IF(A255="","",YEAR(A255)&amp;"-"&amp;TEXT(MONTH(A255),"00"))</f>
        <v/>
      </c>
      <c r="F255" s="2" t="str">
        <f aca="true">IF(A255="","",IF(A255&lt;=TODAY(),"Payée","Prévue"))</f>
        <v/>
      </c>
    </row>
    <row r="256" customFormat="false" ht="15" hidden="false" customHeight="false" outlineLevel="0" collapsed="false">
      <c r="A256" s="35"/>
      <c r="B256" s="34"/>
      <c r="C256" s="33"/>
      <c r="D256" s="33"/>
      <c r="E256" s="36" t="str">
        <f aca="false">IF(A256="","",YEAR(A256)&amp;"-"&amp;TEXT(MONTH(A256),"00"))</f>
        <v/>
      </c>
      <c r="F256" s="2" t="str">
        <f aca="true">IF(A256="","",IF(A256&lt;=TODAY(),"Payée","Prévue"))</f>
        <v/>
      </c>
    </row>
    <row r="257" customFormat="false" ht="15" hidden="false" customHeight="false" outlineLevel="0" collapsed="false">
      <c r="A257" s="35"/>
      <c r="B257" s="34"/>
      <c r="C257" s="33"/>
      <c r="D257" s="33"/>
      <c r="E257" s="36" t="str">
        <f aca="false">IF(A257="","",YEAR(A257)&amp;"-"&amp;TEXT(MONTH(A257),"00"))</f>
        <v/>
      </c>
      <c r="F257" s="2" t="str">
        <f aca="true">IF(A257="","",IF(A257&lt;=TODAY(),"Payée","Prévue"))</f>
        <v/>
      </c>
    </row>
    <row r="258" customFormat="false" ht="15" hidden="false" customHeight="false" outlineLevel="0" collapsed="false">
      <c r="A258" s="35"/>
      <c r="B258" s="34"/>
      <c r="C258" s="33"/>
      <c r="D258" s="33"/>
      <c r="E258" s="36" t="str">
        <f aca="false">IF(A258="","",YEAR(A258)&amp;"-"&amp;TEXT(MONTH(A258),"00"))</f>
        <v/>
      </c>
      <c r="F258" s="2" t="str">
        <f aca="true">IF(A258="","",IF(A258&lt;=TODAY(),"Payée","Prévue"))</f>
        <v/>
      </c>
    </row>
    <row r="259" customFormat="false" ht="15" hidden="false" customHeight="false" outlineLevel="0" collapsed="false">
      <c r="A259" s="35"/>
      <c r="B259" s="34"/>
      <c r="C259" s="33"/>
      <c r="D259" s="33"/>
      <c r="E259" s="36" t="str">
        <f aca="false">IF(A259="","",YEAR(A259)&amp;"-"&amp;TEXT(MONTH(A259),"00"))</f>
        <v/>
      </c>
      <c r="F259" s="2" t="str">
        <f aca="true">IF(A259="","",IF(A259&lt;=TODAY(),"Payée","Prévue"))</f>
        <v/>
      </c>
    </row>
    <row r="260" customFormat="false" ht="15" hidden="false" customHeight="false" outlineLevel="0" collapsed="false">
      <c r="A260" s="35"/>
      <c r="B260" s="34"/>
      <c r="C260" s="33"/>
      <c r="D260" s="33"/>
      <c r="E260" s="36" t="str">
        <f aca="false">IF(A260="","",YEAR(A260)&amp;"-"&amp;TEXT(MONTH(A260),"00"))</f>
        <v/>
      </c>
      <c r="F260" s="2" t="str">
        <f aca="true">IF(A260="","",IF(A260&lt;=TODAY(),"Payée","Prévue"))</f>
        <v/>
      </c>
    </row>
    <row r="261" customFormat="false" ht="15" hidden="false" customHeight="false" outlineLevel="0" collapsed="false">
      <c r="A261" s="35"/>
      <c r="B261" s="34"/>
      <c r="C261" s="33"/>
      <c r="D261" s="33"/>
      <c r="E261" s="36" t="str">
        <f aca="false">IF(A261="","",YEAR(A261)&amp;"-"&amp;TEXT(MONTH(A261),"00"))</f>
        <v/>
      </c>
      <c r="F261" s="2" t="str">
        <f aca="true">IF(A261="","",IF(A261&lt;=TODAY(),"Payée","Prévue"))</f>
        <v/>
      </c>
    </row>
    <row r="262" customFormat="false" ht="15" hidden="false" customHeight="false" outlineLevel="0" collapsed="false">
      <c r="A262" s="35"/>
      <c r="B262" s="34"/>
      <c r="C262" s="33"/>
      <c r="D262" s="33"/>
      <c r="E262" s="36" t="str">
        <f aca="false">IF(A262="","",YEAR(A262)&amp;"-"&amp;TEXT(MONTH(A262),"00"))</f>
        <v/>
      </c>
      <c r="F262" s="2" t="str">
        <f aca="true">IF(A262="","",IF(A262&lt;=TODAY(),"Payée","Prévue"))</f>
        <v/>
      </c>
    </row>
    <row r="263" customFormat="false" ht="15" hidden="false" customHeight="false" outlineLevel="0" collapsed="false">
      <c r="A263" s="35"/>
      <c r="B263" s="34"/>
      <c r="C263" s="33"/>
      <c r="D263" s="33"/>
      <c r="E263" s="36" t="str">
        <f aca="false">IF(A263="","",YEAR(A263)&amp;"-"&amp;TEXT(MONTH(A263),"00"))</f>
        <v/>
      </c>
      <c r="F263" s="2" t="str">
        <f aca="true">IF(A263="","",IF(A263&lt;=TODAY(),"Payée","Prévue"))</f>
        <v/>
      </c>
    </row>
    <row r="264" customFormat="false" ht="15" hidden="false" customHeight="false" outlineLevel="0" collapsed="false">
      <c r="A264" s="35"/>
      <c r="B264" s="34"/>
      <c r="C264" s="33"/>
      <c r="D264" s="33"/>
      <c r="E264" s="36" t="str">
        <f aca="false">IF(A264="","",YEAR(A264)&amp;"-"&amp;TEXT(MONTH(A264),"00"))</f>
        <v/>
      </c>
      <c r="F264" s="2" t="str">
        <f aca="true">IF(A264="","",IF(A264&lt;=TODAY(),"Payée","Prévue"))</f>
        <v/>
      </c>
    </row>
    <row r="265" customFormat="false" ht="15" hidden="false" customHeight="false" outlineLevel="0" collapsed="false">
      <c r="A265" s="35"/>
      <c r="B265" s="34"/>
      <c r="C265" s="33"/>
      <c r="D265" s="33"/>
      <c r="E265" s="36" t="str">
        <f aca="false">IF(A265="","",YEAR(A265)&amp;"-"&amp;TEXT(MONTH(A265),"00"))</f>
        <v/>
      </c>
      <c r="F265" s="2" t="str">
        <f aca="true">IF(A265="","",IF(A265&lt;=TODAY(),"Payée","Prévue"))</f>
        <v/>
      </c>
    </row>
    <row r="266" customFormat="false" ht="15" hidden="false" customHeight="false" outlineLevel="0" collapsed="false">
      <c r="A266" s="35"/>
      <c r="B266" s="34"/>
      <c r="C266" s="33"/>
      <c r="D266" s="33"/>
      <c r="E266" s="36" t="str">
        <f aca="false">IF(A266="","",YEAR(A266)&amp;"-"&amp;TEXT(MONTH(A266),"00"))</f>
        <v/>
      </c>
      <c r="F266" s="2" t="str">
        <f aca="true">IF(A266="","",IF(A266&lt;=TODAY(),"Payée","Prévue"))</f>
        <v/>
      </c>
    </row>
    <row r="267" customFormat="false" ht="15" hidden="false" customHeight="false" outlineLevel="0" collapsed="false">
      <c r="A267" s="35"/>
      <c r="B267" s="34"/>
      <c r="C267" s="33"/>
      <c r="D267" s="33"/>
      <c r="E267" s="36" t="str">
        <f aca="false">IF(A267="","",YEAR(A267)&amp;"-"&amp;TEXT(MONTH(A267),"00"))</f>
        <v/>
      </c>
      <c r="F267" s="2" t="str">
        <f aca="true">IF(A267="","",IF(A267&lt;=TODAY(),"Payée","Prévue"))</f>
        <v/>
      </c>
    </row>
    <row r="268" customFormat="false" ht="15" hidden="false" customHeight="false" outlineLevel="0" collapsed="false">
      <c r="A268" s="35"/>
      <c r="B268" s="34"/>
      <c r="C268" s="33"/>
      <c r="D268" s="33"/>
      <c r="E268" s="36" t="str">
        <f aca="false">IF(A268="","",YEAR(A268)&amp;"-"&amp;TEXT(MONTH(A268),"00"))</f>
        <v/>
      </c>
      <c r="F268" s="2" t="str">
        <f aca="true">IF(A268="","",IF(A268&lt;=TODAY(),"Payée","Prévue"))</f>
        <v/>
      </c>
    </row>
    <row r="269" customFormat="false" ht="15" hidden="false" customHeight="false" outlineLevel="0" collapsed="false">
      <c r="A269" s="35"/>
      <c r="B269" s="34"/>
      <c r="C269" s="33"/>
      <c r="D269" s="33"/>
      <c r="E269" s="36" t="str">
        <f aca="false">IF(A269="","",YEAR(A269)&amp;"-"&amp;TEXT(MONTH(A269),"00"))</f>
        <v/>
      </c>
      <c r="F269" s="2" t="str">
        <f aca="true">IF(A269="","",IF(A269&lt;=TODAY(),"Payée","Prévue"))</f>
        <v/>
      </c>
    </row>
    <row r="270" customFormat="false" ht="15" hidden="false" customHeight="false" outlineLevel="0" collapsed="false">
      <c r="A270" s="35"/>
      <c r="B270" s="34"/>
      <c r="C270" s="33"/>
      <c r="D270" s="33"/>
      <c r="E270" s="36" t="str">
        <f aca="false">IF(A270="","",YEAR(A270)&amp;"-"&amp;TEXT(MONTH(A270),"00"))</f>
        <v/>
      </c>
      <c r="F270" s="2" t="str">
        <f aca="true">IF(A270="","",IF(A270&lt;=TODAY(),"Payée","Prévue"))</f>
        <v/>
      </c>
    </row>
    <row r="271" customFormat="false" ht="15" hidden="false" customHeight="false" outlineLevel="0" collapsed="false">
      <c r="A271" s="35"/>
      <c r="B271" s="34"/>
      <c r="C271" s="33"/>
      <c r="D271" s="33"/>
      <c r="E271" s="36" t="str">
        <f aca="false">IF(A271="","",YEAR(A271)&amp;"-"&amp;TEXT(MONTH(A271),"00"))</f>
        <v/>
      </c>
      <c r="F271" s="2" t="str">
        <f aca="true">IF(A271="","",IF(A271&lt;=TODAY(),"Payée","Prévue"))</f>
        <v/>
      </c>
    </row>
    <row r="272" customFormat="false" ht="15" hidden="false" customHeight="false" outlineLevel="0" collapsed="false">
      <c r="A272" s="35"/>
      <c r="B272" s="34"/>
      <c r="C272" s="33"/>
      <c r="D272" s="33"/>
      <c r="E272" s="36" t="str">
        <f aca="false">IF(A272="","",YEAR(A272)&amp;"-"&amp;TEXT(MONTH(A272),"00"))</f>
        <v/>
      </c>
      <c r="F272" s="2" t="str">
        <f aca="true">IF(A272="","",IF(A272&lt;=TODAY(),"Payée","Prévue"))</f>
        <v/>
      </c>
    </row>
    <row r="273" customFormat="false" ht="15" hidden="false" customHeight="false" outlineLevel="0" collapsed="false">
      <c r="A273" s="35"/>
      <c r="B273" s="34"/>
      <c r="C273" s="33"/>
      <c r="D273" s="33"/>
      <c r="E273" s="36" t="str">
        <f aca="false">IF(A273="","",YEAR(A273)&amp;"-"&amp;TEXT(MONTH(A273),"00"))</f>
        <v/>
      </c>
      <c r="F273" s="2" t="str">
        <f aca="true">IF(A273="","",IF(A273&lt;=TODAY(),"Payée","Prévue"))</f>
        <v/>
      </c>
    </row>
    <row r="274" customFormat="false" ht="15" hidden="false" customHeight="false" outlineLevel="0" collapsed="false">
      <c r="A274" s="35"/>
      <c r="B274" s="34"/>
      <c r="C274" s="33"/>
      <c r="D274" s="33"/>
      <c r="E274" s="36" t="str">
        <f aca="false">IF(A274="","",YEAR(A274)&amp;"-"&amp;TEXT(MONTH(A274),"00"))</f>
        <v/>
      </c>
      <c r="F274" s="2" t="str">
        <f aca="true">IF(A274="","",IF(A274&lt;=TODAY(),"Payée","Prévue"))</f>
        <v/>
      </c>
    </row>
    <row r="275" customFormat="false" ht="15" hidden="false" customHeight="false" outlineLevel="0" collapsed="false">
      <c r="A275" s="35"/>
      <c r="B275" s="34"/>
      <c r="C275" s="33"/>
      <c r="D275" s="33"/>
      <c r="E275" s="36" t="str">
        <f aca="false">IF(A275="","",YEAR(A275)&amp;"-"&amp;TEXT(MONTH(A275),"00"))</f>
        <v/>
      </c>
      <c r="F275" s="2" t="str">
        <f aca="true">IF(A275="","",IF(A275&lt;=TODAY(),"Payée","Prévue"))</f>
        <v/>
      </c>
    </row>
    <row r="276" customFormat="false" ht="15" hidden="false" customHeight="false" outlineLevel="0" collapsed="false">
      <c r="A276" s="35"/>
      <c r="B276" s="34"/>
      <c r="C276" s="33"/>
      <c r="D276" s="33"/>
      <c r="E276" s="36" t="str">
        <f aca="false">IF(A276="","",YEAR(A276)&amp;"-"&amp;TEXT(MONTH(A276),"00"))</f>
        <v/>
      </c>
      <c r="F276" s="2" t="str">
        <f aca="true">IF(A276="","",IF(A276&lt;=TODAY(),"Payée","Prévue"))</f>
        <v/>
      </c>
    </row>
    <row r="277" customFormat="false" ht="15" hidden="false" customHeight="false" outlineLevel="0" collapsed="false">
      <c r="A277" s="35"/>
      <c r="B277" s="34"/>
      <c r="C277" s="33"/>
      <c r="D277" s="33"/>
      <c r="E277" s="36" t="str">
        <f aca="false">IF(A277="","",YEAR(A277)&amp;"-"&amp;TEXT(MONTH(A277),"00"))</f>
        <v/>
      </c>
      <c r="F277" s="2" t="str">
        <f aca="true">IF(A277="","",IF(A277&lt;=TODAY(),"Payée","Prévue"))</f>
        <v/>
      </c>
    </row>
    <row r="278" customFormat="false" ht="15" hidden="false" customHeight="false" outlineLevel="0" collapsed="false">
      <c r="A278" s="35"/>
      <c r="B278" s="34"/>
      <c r="C278" s="33"/>
      <c r="D278" s="33"/>
      <c r="E278" s="36" t="str">
        <f aca="false">IF(A278="","",YEAR(A278)&amp;"-"&amp;TEXT(MONTH(A278),"00"))</f>
        <v/>
      </c>
      <c r="F278" s="2" t="str">
        <f aca="true">IF(A278="","",IF(A278&lt;=TODAY(),"Payée","Prévue"))</f>
        <v/>
      </c>
    </row>
    <row r="279" customFormat="false" ht="15" hidden="false" customHeight="false" outlineLevel="0" collapsed="false">
      <c r="A279" s="35"/>
      <c r="B279" s="34"/>
      <c r="C279" s="33"/>
      <c r="D279" s="33"/>
      <c r="E279" s="36" t="str">
        <f aca="false">IF(A279="","",YEAR(A279)&amp;"-"&amp;TEXT(MONTH(A279),"00"))</f>
        <v/>
      </c>
      <c r="F279" s="2" t="str">
        <f aca="true">IF(A279="","",IF(A279&lt;=TODAY(),"Payée","Prévue"))</f>
        <v/>
      </c>
    </row>
    <row r="280" customFormat="false" ht="15" hidden="false" customHeight="false" outlineLevel="0" collapsed="false">
      <c r="A280" s="35"/>
      <c r="B280" s="34"/>
      <c r="C280" s="33"/>
      <c r="D280" s="33"/>
      <c r="E280" s="36" t="str">
        <f aca="false">IF(A280="","",YEAR(A280)&amp;"-"&amp;TEXT(MONTH(A280),"00"))</f>
        <v/>
      </c>
      <c r="F280" s="2" t="str">
        <f aca="true">IF(A280="","",IF(A280&lt;=TODAY(),"Payée","Prévue"))</f>
        <v/>
      </c>
    </row>
    <row r="281" customFormat="false" ht="15" hidden="false" customHeight="false" outlineLevel="0" collapsed="false">
      <c r="A281" s="35"/>
      <c r="B281" s="34"/>
      <c r="C281" s="33"/>
      <c r="D281" s="33"/>
      <c r="E281" s="36" t="str">
        <f aca="false">IF(A281="","",YEAR(A281)&amp;"-"&amp;TEXT(MONTH(A281),"00"))</f>
        <v/>
      </c>
      <c r="F281" s="2" t="str">
        <f aca="true">IF(A281="","",IF(A281&lt;=TODAY(),"Payée","Prévue"))</f>
        <v/>
      </c>
    </row>
    <row r="282" customFormat="false" ht="15" hidden="false" customHeight="false" outlineLevel="0" collapsed="false">
      <c r="A282" s="35"/>
      <c r="B282" s="34"/>
      <c r="C282" s="33"/>
      <c r="D282" s="33"/>
      <c r="E282" s="36" t="str">
        <f aca="false">IF(A282="","",YEAR(A282)&amp;"-"&amp;TEXT(MONTH(A282),"00"))</f>
        <v/>
      </c>
      <c r="F282" s="2" t="str">
        <f aca="true">IF(A282="","",IF(A282&lt;=TODAY(),"Payée","Prévue"))</f>
        <v/>
      </c>
    </row>
    <row r="283" customFormat="false" ht="15" hidden="false" customHeight="false" outlineLevel="0" collapsed="false">
      <c r="A283" s="35"/>
      <c r="B283" s="34"/>
      <c r="C283" s="33"/>
      <c r="D283" s="33"/>
      <c r="E283" s="36" t="str">
        <f aca="false">IF(A283="","",YEAR(A283)&amp;"-"&amp;TEXT(MONTH(A283),"00"))</f>
        <v/>
      </c>
      <c r="F283" s="2" t="str">
        <f aca="true">IF(A283="","",IF(A283&lt;=TODAY(),"Payée","Prévue"))</f>
        <v/>
      </c>
    </row>
    <row r="284" customFormat="false" ht="15" hidden="false" customHeight="false" outlineLevel="0" collapsed="false">
      <c r="A284" s="35"/>
      <c r="B284" s="34"/>
      <c r="C284" s="33"/>
      <c r="D284" s="33"/>
      <c r="E284" s="36" t="str">
        <f aca="false">IF(A284="","",YEAR(A284)&amp;"-"&amp;TEXT(MONTH(A284),"00"))</f>
        <v/>
      </c>
      <c r="F284" s="2" t="str">
        <f aca="true">IF(A284="","",IF(A284&lt;=TODAY(),"Payée","Prévue"))</f>
        <v/>
      </c>
    </row>
    <row r="285" customFormat="false" ht="15" hidden="false" customHeight="false" outlineLevel="0" collapsed="false">
      <c r="A285" s="35"/>
      <c r="B285" s="34"/>
      <c r="C285" s="33"/>
      <c r="D285" s="33"/>
      <c r="E285" s="36" t="str">
        <f aca="false">IF(A285="","",YEAR(A285)&amp;"-"&amp;TEXT(MONTH(A285),"00"))</f>
        <v/>
      </c>
      <c r="F285" s="2" t="str">
        <f aca="true">IF(A285="","",IF(A285&lt;=TODAY(),"Payée","Prévue"))</f>
        <v/>
      </c>
    </row>
    <row r="286" customFormat="false" ht="15" hidden="false" customHeight="false" outlineLevel="0" collapsed="false">
      <c r="A286" s="35"/>
      <c r="B286" s="34"/>
      <c r="C286" s="33"/>
      <c r="D286" s="33"/>
      <c r="E286" s="36" t="str">
        <f aca="false">IF(A286="","",YEAR(A286)&amp;"-"&amp;TEXT(MONTH(A286),"00"))</f>
        <v/>
      </c>
      <c r="F286" s="2" t="str">
        <f aca="true">IF(A286="","",IF(A286&lt;=TODAY(),"Payée","Prévue"))</f>
        <v/>
      </c>
    </row>
    <row r="287" customFormat="false" ht="15" hidden="false" customHeight="false" outlineLevel="0" collapsed="false">
      <c r="A287" s="35"/>
      <c r="B287" s="34"/>
      <c r="C287" s="33"/>
      <c r="D287" s="33"/>
      <c r="E287" s="36" t="str">
        <f aca="false">IF(A287="","",YEAR(A287)&amp;"-"&amp;TEXT(MONTH(A287),"00"))</f>
        <v/>
      </c>
      <c r="F287" s="2" t="str">
        <f aca="true">IF(A287="","",IF(A287&lt;=TODAY(),"Payée","Prévue"))</f>
        <v/>
      </c>
    </row>
    <row r="288" customFormat="false" ht="15" hidden="false" customHeight="false" outlineLevel="0" collapsed="false">
      <c r="A288" s="35"/>
      <c r="B288" s="34"/>
      <c r="C288" s="33"/>
      <c r="D288" s="33"/>
      <c r="E288" s="36" t="str">
        <f aca="false">IF(A288="","",YEAR(A288)&amp;"-"&amp;TEXT(MONTH(A288),"00"))</f>
        <v/>
      </c>
      <c r="F288" s="2" t="str">
        <f aca="true">IF(A288="","",IF(A288&lt;=TODAY(),"Payée","Prévue"))</f>
        <v/>
      </c>
    </row>
    <row r="289" customFormat="false" ht="15" hidden="false" customHeight="false" outlineLevel="0" collapsed="false">
      <c r="A289" s="35"/>
      <c r="B289" s="34"/>
      <c r="C289" s="33"/>
      <c r="D289" s="33"/>
      <c r="E289" s="36" t="str">
        <f aca="false">IF(A289="","",YEAR(A289)&amp;"-"&amp;TEXT(MONTH(A289),"00"))</f>
        <v/>
      </c>
      <c r="F289" s="2" t="str">
        <f aca="true">IF(A289="","",IF(A289&lt;=TODAY(),"Payée","Prévue"))</f>
        <v/>
      </c>
    </row>
    <row r="290" customFormat="false" ht="15" hidden="false" customHeight="false" outlineLevel="0" collapsed="false">
      <c r="A290" s="35"/>
      <c r="B290" s="34"/>
      <c r="C290" s="33"/>
      <c r="D290" s="33"/>
      <c r="E290" s="36" t="str">
        <f aca="false">IF(A290="","",YEAR(A290)&amp;"-"&amp;TEXT(MONTH(A290),"00"))</f>
        <v/>
      </c>
      <c r="F290" s="2" t="str">
        <f aca="true">IF(A290="","",IF(A290&lt;=TODAY(),"Payée","Prévue"))</f>
        <v/>
      </c>
    </row>
    <row r="291" customFormat="false" ht="15" hidden="false" customHeight="false" outlineLevel="0" collapsed="false">
      <c r="A291" s="35"/>
      <c r="B291" s="34"/>
      <c r="C291" s="33"/>
      <c r="D291" s="33"/>
      <c r="E291" s="36" t="str">
        <f aca="false">IF(A291="","",YEAR(A291)&amp;"-"&amp;TEXT(MONTH(A291),"00"))</f>
        <v/>
      </c>
      <c r="F291" s="2" t="str">
        <f aca="true">IF(A291="","",IF(A291&lt;=TODAY(),"Payée","Prévue"))</f>
        <v/>
      </c>
    </row>
    <row r="292" customFormat="false" ht="15" hidden="false" customHeight="false" outlineLevel="0" collapsed="false">
      <c r="A292" s="35"/>
      <c r="B292" s="34"/>
      <c r="C292" s="33"/>
      <c r="D292" s="33"/>
      <c r="E292" s="36" t="str">
        <f aca="false">IF(A292="","",YEAR(A292)&amp;"-"&amp;TEXT(MONTH(A292),"00"))</f>
        <v/>
      </c>
      <c r="F292" s="2" t="str">
        <f aca="true">IF(A292="","",IF(A292&lt;=TODAY(),"Payée","Prévue"))</f>
        <v/>
      </c>
    </row>
    <row r="293" customFormat="false" ht="15" hidden="false" customHeight="false" outlineLevel="0" collapsed="false">
      <c r="A293" s="35"/>
      <c r="B293" s="34"/>
      <c r="C293" s="33"/>
      <c r="D293" s="33"/>
      <c r="E293" s="36" t="str">
        <f aca="false">IF(A293="","",YEAR(A293)&amp;"-"&amp;TEXT(MONTH(A293),"00"))</f>
        <v/>
      </c>
      <c r="F293" s="2" t="str">
        <f aca="true">IF(A293="","",IF(A293&lt;=TODAY(),"Payée","Prévue"))</f>
        <v/>
      </c>
    </row>
    <row r="294" customFormat="false" ht="15" hidden="false" customHeight="false" outlineLevel="0" collapsed="false">
      <c r="A294" s="35"/>
      <c r="B294" s="34"/>
      <c r="C294" s="33"/>
      <c r="D294" s="33"/>
      <c r="E294" s="36" t="str">
        <f aca="false">IF(A294="","",YEAR(A294)&amp;"-"&amp;TEXT(MONTH(A294),"00"))</f>
        <v/>
      </c>
      <c r="F294" s="2" t="str">
        <f aca="true">IF(A294="","",IF(A294&lt;=TODAY(),"Payée","Prévue"))</f>
        <v/>
      </c>
    </row>
    <row r="295" customFormat="false" ht="15" hidden="false" customHeight="false" outlineLevel="0" collapsed="false">
      <c r="A295" s="35"/>
      <c r="B295" s="34"/>
      <c r="C295" s="33"/>
      <c r="D295" s="33"/>
      <c r="E295" s="36" t="str">
        <f aca="false">IF(A295="","",YEAR(A295)&amp;"-"&amp;TEXT(MONTH(A295),"00"))</f>
        <v/>
      </c>
      <c r="F295" s="2" t="str">
        <f aca="true">IF(A295="","",IF(A295&lt;=TODAY(),"Payée","Prévue"))</f>
        <v/>
      </c>
    </row>
    <row r="296" customFormat="false" ht="15" hidden="false" customHeight="false" outlineLevel="0" collapsed="false">
      <c r="A296" s="35"/>
      <c r="B296" s="34"/>
      <c r="C296" s="33"/>
      <c r="D296" s="33"/>
      <c r="E296" s="36" t="str">
        <f aca="false">IF(A296="","",YEAR(A296)&amp;"-"&amp;TEXT(MONTH(A296),"00"))</f>
        <v/>
      </c>
      <c r="F296" s="2" t="str">
        <f aca="true">IF(A296="","",IF(A296&lt;=TODAY(),"Payée","Prévue"))</f>
        <v/>
      </c>
    </row>
    <row r="297" customFormat="false" ht="15" hidden="false" customHeight="false" outlineLevel="0" collapsed="false">
      <c r="A297" s="35"/>
      <c r="B297" s="34"/>
      <c r="C297" s="33"/>
      <c r="D297" s="33"/>
      <c r="E297" s="36" t="str">
        <f aca="false">IF(A297="","",YEAR(A297)&amp;"-"&amp;TEXT(MONTH(A297),"00"))</f>
        <v/>
      </c>
      <c r="F297" s="2" t="str">
        <f aca="true">IF(A297="","",IF(A297&lt;=TODAY(),"Payée","Prévue"))</f>
        <v/>
      </c>
    </row>
    <row r="298" customFormat="false" ht="15" hidden="false" customHeight="false" outlineLevel="0" collapsed="false">
      <c r="A298" s="35"/>
      <c r="B298" s="34"/>
      <c r="C298" s="33"/>
      <c r="D298" s="33"/>
      <c r="E298" s="36" t="str">
        <f aca="false">IF(A298="","",YEAR(A298)&amp;"-"&amp;TEXT(MONTH(A298),"00"))</f>
        <v/>
      </c>
      <c r="F298" s="2" t="str">
        <f aca="true">IF(A298="","",IF(A298&lt;=TODAY(),"Payée","Prévue"))</f>
        <v/>
      </c>
    </row>
    <row r="299" customFormat="false" ht="15" hidden="false" customHeight="false" outlineLevel="0" collapsed="false">
      <c r="A299" s="35"/>
      <c r="B299" s="34"/>
      <c r="C299" s="33"/>
      <c r="D299" s="33"/>
      <c r="E299" s="36" t="str">
        <f aca="false">IF(A299="","",YEAR(A299)&amp;"-"&amp;TEXT(MONTH(A299),"00"))</f>
        <v/>
      </c>
      <c r="F299" s="2" t="str">
        <f aca="true">IF(A299="","",IF(A299&lt;=TODAY(),"Payée","Prévue"))</f>
        <v/>
      </c>
    </row>
    <row r="300" customFormat="false" ht="15" hidden="false" customHeight="false" outlineLevel="0" collapsed="false">
      <c r="A300" s="35"/>
      <c r="B300" s="34"/>
      <c r="C300" s="33"/>
      <c r="D300" s="33"/>
      <c r="E300" s="36" t="str">
        <f aca="false">IF(A300="","",YEAR(A300)&amp;"-"&amp;TEXT(MONTH(A300),"00"))</f>
        <v/>
      </c>
      <c r="F300" s="2" t="str">
        <f aca="true">IF(A300="","",IF(A300&lt;=TODAY(),"Payée","Prévue"))</f>
        <v/>
      </c>
    </row>
    <row r="301" customFormat="false" ht="15" hidden="false" customHeight="false" outlineLevel="0" collapsed="false">
      <c r="A301" s="35"/>
      <c r="B301" s="34"/>
      <c r="C301" s="33"/>
      <c r="D301" s="33"/>
      <c r="E301" s="36" t="str">
        <f aca="false">IF(A301="","",YEAR(A301)&amp;"-"&amp;TEXT(MONTH(A301),"00"))</f>
        <v/>
      </c>
      <c r="F301" s="2" t="str">
        <f aca="true">IF(A301="","",IF(A301&lt;=TODAY(),"Payée","Prévue"))</f>
        <v/>
      </c>
    </row>
    <row r="302" customFormat="false" ht="15" hidden="false" customHeight="false" outlineLevel="0" collapsed="false">
      <c r="A302" s="35"/>
      <c r="B302" s="34"/>
      <c r="C302" s="33"/>
      <c r="D302" s="33"/>
      <c r="E302" s="36" t="str">
        <f aca="false">IF(A302="","",YEAR(A302)&amp;"-"&amp;TEXT(MONTH(A302),"00"))</f>
        <v/>
      </c>
      <c r="F302" s="2" t="str">
        <f aca="true">IF(A302="","",IF(A302&lt;=TODAY(),"Payée","Prévue"))</f>
        <v/>
      </c>
    </row>
    <row r="303" customFormat="false" ht="15" hidden="false" customHeight="false" outlineLevel="0" collapsed="false">
      <c r="A303" s="35"/>
      <c r="B303" s="34"/>
      <c r="C303" s="33"/>
      <c r="D303" s="33"/>
      <c r="E303" s="36" t="str">
        <f aca="false">IF(A303="","",YEAR(A303)&amp;"-"&amp;TEXT(MONTH(A303),"00"))</f>
        <v/>
      </c>
      <c r="F303" s="2" t="str">
        <f aca="true">IF(A303="","",IF(A303&lt;=TODAY(),"Payée","Prévue"))</f>
        <v/>
      </c>
    </row>
    <row r="304" customFormat="false" ht="15" hidden="false" customHeight="false" outlineLevel="0" collapsed="false">
      <c r="A304" s="35"/>
      <c r="B304" s="34"/>
      <c r="C304" s="33"/>
      <c r="D304" s="33"/>
      <c r="E304" s="36" t="str">
        <f aca="false">IF(A304="","",YEAR(A304)&amp;"-"&amp;TEXT(MONTH(A304),"00"))</f>
        <v/>
      </c>
      <c r="F304" s="2" t="str">
        <f aca="true">IF(A304="","",IF(A304&lt;=TODAY(),"Payée","Prévue"))</f>
        <v/>
      </c>
    </row>
    <row r="305" customFormat="false" ht="15" hidden="false" customHeight="false" outlineLevel="0" collapsed="false">
      <c r="A305" s="35"/>
      <c r="B305" s="34"/>
      <c r="C305" s="33"/>
      <c r="D305" s="33"/>
      <c r="E305" s="36" t="str">
        <f aca="false">IF(A305="","",YEAR(A305)&amp;"-"&amp;TEXT(MONTH(A305),"00"))</f>
        <v/>
      </c>
      <c r="F305" s="2" t="str">
        <f aca="true">IF(A305="","",IF(A305&lt;=TODAY(),"Payée","Prévue"))</f>
        <v/>
      </c>
    </row>
    <row r="306" customFormat="false" ht="15" hidden="false" customHeight="false" outlineLevel="0" collapsed="false">
      <c r="A306" s="35"/>
      <c r="B306" s="34"/>
      <c r="C306" s="33"/>
      <c r="D306" s="33"/>
      <c r="E306" s="36" t="str">
        <f aca="false">IF(A306="","",YEAR(A306)&amp;"-"&amp;TEXT(MONTH(A306),"00"))</f>
        <v/>
      </c>
      <c r="F306" s="2" t="str">
        <f aca="true">IF(A306="","",IF(A306&lt;=TODAY(),"Payée","Prévue"))</f>
        <v/>
      </c>
    </row>
    <row r="307" customFormat="false" ht="15" hidden="false" customHeight="false" outlineLevel="0" collapsed="false">
      <c r="A307" s="35"/>
      <c r="B307" s="34"/>
      <c r="C307" s="33"/>
      <c r="D307" s="33"/>
      <c r="E307" s="36" t="str">
        <f aca="false">IF(A307="","",YEAR(A307)&amp;"-"&amp;TEXT(MONTH(A307),"00"))</f>
        <v/>
      </c>
      <c r="F307" s="2" t="str">
        <f aca="true">IF(A307="","",IF(A307&lt;=TODAY(),"Payée","Prévue"))</f>
        <v/>
      </c>
    </row>
    <row r="308" customFormat="false" ht="15" hidden="false" customHeight="false" outlineLevel="0" collapsed="false">
      <c r="A308" s="35"/>
      <c r="B308" s="34"/>
      <c r="C308" s="33"/>
      <c r="D308" s="33"/>
      <c r="E308" s="36" t="str">
        <f aca="false">IF(A308="","",YEAR(A308)&amp;"-"&amp;TEXT(MONTH(A308),"00"))</f>
        <v/>
      </c>
      <c r="F308" s="2" t="str">
        <f aca="true">IF(A308="","",IF(A308&lt;=TODAY(),"Payée","Prévue"))</f>
        <v/>
      </c>
    </row>
    <row r="309" customFormat="false" ht="15" hidden="false" customHeight="false" outlineLevel="0" collapsed="false">
      <c r="A309" s="35"/>
      <c r="B309" s="34"/>
      <c r="C309" s="33"/>
      <c r="D309" s="33"/>
      <c r="E309" s="36" t="str">
        <f aca="false">IF(A309="","",YEAR(A309)&amp;"-"&amp;TEXT(MONTH(A309),"00"))</f>
        <v/>
      </c>
      <c r="F309" s="2" t="str">
        <f aca="true">IF(A309="","",IF(A309&lt;=TODAY(),"Payée","Prévue"))</f>
        <v/>
      </c>
    </row>
    <row r="310" customFormat="false" ht="15" hidden="false" customHeight="false" outlineLevel="0" collapsed="false">
      <c r="A310" s="35"/>
      <c r="B310" s="34"/>
      <c r="C310" s="33"/>
      <c r="D310" s="33"/>
      <c r="E310" s="36" t="str">
        <f aca="false">IF(A310="","",YEAR(A310)&amp;"-"&amp;TEXT(MONTH(A310),"00"))</f>
        <v/>
      </c>
      <c r="F310" s="2" t="str">
        <f aca="true">IF(A310="","",IF(A310&lt;=TODAY(),"Payée","Prévue"))</f>
        <v/>
      </c>
    </row>
    <row r="311" customFormat="false" ht="15" hidden="false" customHeight="false" outlineLevel="0" collapsed="false">
      <c r="A311" s="35"/>
      <c r="B311" s="34"/>
      <c r="C311" s="33"/>
      <c r="D311" s="33"/>
      <c r="E311" s="36" t="str">
        <f aca="false">IF(A311="","",YEAR(A311)&amp;"-"&amp;TEXT(MONTH(A311),"00"))</f>
        <v/>
      </c>
      <c r="F311" s="2" t="str">
        <f aca="true">IF(A311="","",IF(A311&lt;=TODAY(),"Payée","Prévue"))</f>
        <v/>
      </c>
    </row>
    <row r="312" customFormat="false" ht="15" hidden="false" customHeight="false" outlineLevel="0" collapsed="false">
      <c r="A312" s="35"/>
      <c r="B312" s="34"/>
      <c r="C312" s="33"/>
      <c r="D312" s="33"/>
      <c r="E312" s="36" t="str">
        <f aca="false">IF(A312="","",YEAR(A312)&amp;"-"&amp;TEXT(MONTH(A312),"00"))</f>
        <v/>
      </c>
      <c r="F312" s="2" t="str">
        <f aca="true">IF(A312="","",IF(A312&lt;=TODAY(),"Payée","Prévue"))</f>
        <v/>
      </c>
    </row>
    <row r="313" customFormat="false" ht="15" hidden="false" customHeight="false" outlineLevel="0" collapsed="false">
      <c r="A313" s="35"/>
      <c r="B313" s="34"/>
      <c r="C313" s="33"/>
      <c r="D313" s="33"/>
      <c r="E313" s="36" t="str">
        <f aca="false">IF(A313="","",YEAR(A313)&amp;"-"&amp;TEXT(MONTH(A313),"00"))</f>
        <v/>
      </c>
      <c r="F313" s="2" t="str">
        <f aca="true">IF(A313="","",IF(A313&lt;=TODAY(),"Payée","Prévue"))</f>
        <v/>
      </c>
    </row>
    <row r="314" customFormat="false" ht="15" hidden="false" customHeight="false" outlineLevel="0" collapsed="false">
      <c r="A314" s="35"/>
      <c r="B314" s="34"/>
      <c r="C314" s="33"/>
      <c r="D314" s="33"/>
      <c r="E314" s="36" t="str">
        <f aca="false">IF(A314="","",YEAR(A314)&amp;"-"&amp;TEXT(MONTH(A314),"00"))</f>
        <v/>
      </c>
      <c r="F314" s="2" t="str">
        <f aca="true">IF(A314="","",IF(A314&lt;=TODAY(),"Payée","Prévue"))</f>
        <v/>
      </c>
    </row>
    <row r="315" customFormat="false" ht="15" hidden="false" customHeight="false" outlineLevel="0" collapsed="false">
      <c r="A315" s="35"/>
      <c r="B315" s="34"/>
      <c r="C315" s="33"/>
      <c r="D315" s="33"/>
      <c r="E315" s="36" t="str">
        <f aca="false">IF(A315="","",YEAR(A315)&amp;"-"&amp;TEXT(MONTH(A315),"00"))</f>
        <v/>
      </c>
      <c r="F315" s="2" t="str">
        <f aca="true">IF(A315="","",IF(A315&lt;=TODAY(),"Payée","Prévue"))</f>
        <v/>
      </c>
    </row>
    <row r="316" customFormat="false" ht="15" hidden="false" customHeight="false" outlineLevel="0" collapsed="false">
      <c r="A316" s="35"/>
      <c r="B316" s="34"/>
      <c r="C316" s="33"/>
      <c r="D316" s="33"/>
      <c r="E316" s="36" t="str">
        <f aca="false">IF(A316="","",YEAR(A316)&amp;"-"&amp;TEXT(MONTH(A316),"00"))</f>
        <v/>
      </c>
      <c r="F316" s="2" t="str">
        <f aca="true">IF(A316="","",IF(A316&lt;=TODAY(),"Payée","Prévue"))</f>
        <v/>
      </c>
    </row>
    <row r="317" customFormat="false" ht="15" hidden="false" customHeight="false" outlineLevel="0" collapsed="false">
      <c r="A317" s="35"/>
      <c r="B317" s="34"/>
      <c r="C317" s="33"/>
      <c r="D317" s="33"/>
      <c r="E317" s="36" t="str">
        <f aca="false">IF(A317="","",YEAR(A317)&amp;"-"&amp;TEXT(MONTH(A317),"00"))</f>
        <v/>
      </c>
      <c r="F317" s="2" t="str">
        <f aca="true">IF(A317="","",IF(A317&lt;=TODAY(),"Payée","Prévue"))</f>
        <v/>
      </c>
    </row>
    <row r="318" customFormat="false" ht="15" hidden="false" customHeight="false" outlineLevel="0" collapsed="false">
      <c r="A318" s="35"/>
      <c r="B318" s="34"/>
      <c r="C318" s="33"/>
      <c r="D318" s="33"/>
      <c r="E318" s="36" t="str">
        <f aca="false">IF(A318="","",YEAR(A318)&amp;"-"&amp;TEXT(MONTH(A318),"00"))</f>
        <v/>
      </c>
      <c r="F318" s="2" t="str">
        <f aca="true">IF(A318="","",IF(A318&lt;=TODAY(),"Payée","Prévue"))</f>
        <v/>
      </c>
    </row>
    <row r="319" customFormat="false" ht="15" hidden="false" customHeight="false" outlineLevel="0" collapsed="false">
      <c r="A319" s="35"/>
      <c r="B319" s="34"/>
      <c r="C319" s="33"/>
      <c r="D319" s="33"/>
      <c r="E319" s="36" t="str">
        <f aca="false">IF(A319="","",YEAR(A319)&amp;"-"&amp;TEXT(MONTH(A319),"00"))</f>
        <v/>
      </c>
      <c r="F319" s="2" t="str">
        <f aca="true">IF(A319="","",IF(A319&lt;=TODAY(),"Payée","Prévue"))</f>
        <v/>
      </c>
    </row>
    <row r="320" customFormat="false" ht="15" hidden="false" customHeight="false" outlineLevel="0" collapsed="false">
      <c r="A320" s="35"/>
      <c r="B320" s="34"/>
      <c r="C320" s="33"/>
      <c r="D320" s="33"/>
      <c r="E320" s="36" t="str">
        <f aca="false">IF(A320="","",YEAR(A320)&amp;"-"&amp;TEXT(MONTH(A320),"00"))</f>
        <v/>
      </c>
      <c r="F320" s="2" t="str">
        <f aca="true">IF(A320="","",IF(A320&lt;=TODAY(),"Payée","Prévue"))</f>
        <v/>
      </c>
    </row>
    <row r="321" customFormat="false" ht="15" hidden="false" customHeight="false" outlineLevel="0" collapsed="false">
      <c r="A321" s="35"/>
      <c r="B321" s="34"/>
      <c r="C321" s="33"/>
      <c r="D321" s="33"/>
      <c r="E321" s="36" t="str">
        <f aca="false">IF(A321="","",YEAR(A321)&amp;"-"&amp;TEXT(MONTH(A321),"00"))</f>
        <v/>
      </c>
      <c r="F321" s="2" t="str">
        <f aca="true">IF(A321="","",IF(A321&lt;=TODAY(),"Payée","Prévue"))</f>
        <v/>
      </c>
    </row>
    <row r="322" customFormat="false" ht="15" hidden="false" customHeight="false" outlineLevel="0" collapsed="false">
      <c r="A322" s="35"/>
      <c r="B322" s="34"/>
      <c r="C322" s="33"/>
      <c r="D322" s="33"/>
      <c r="E322" s="36" t="str">
        <f aca="false">IF(A322="","",YEAR(A322)&amp;"-"&amp;TEXT(MONTH(A322),"00"))</f>
        <v/>
      </c>
      <c r="F322" s="2" t="str">
        <f aca="true">IF(A322="","",IF(A322&lt;=TODAY(),"Payée","Prévue"))</f>
        <v/>
      </c>
    </row>
    <row r="323" customFormat="false" ht="15" hidden="false" customHeight="false" outlineLevel="0" collapsed="false">
      <c r="A323" s="35"/>
      <c r="B323" s="34"/>
      <c r="C323" s="33"/>
      <c r="D323" s="33"/>
      <c r="E323" s="36" t="str">
        <f aca="false">IF(A323="","",YEAR(A323)&amp;"-"&amp;TEXT(MONTH(A323),"00"))</f>
        <v/>
      </c>
      <c r="F323" s="2" t="str">
        <f aca="true">IF(A323="","",IF(A323&lt;=TODAY(),"Payée","Prévue"))</f>
        <v/>
      </c>
    </row>
    <row r="324" customFormat="false" ht="15" hidden="false" customHeight="false" outlineLevel="0" collapsed="false">
      <c r="A324" s="35"/>
      <c r="B324" s="34"/>
      <c r="C324" s="33"/>
      <c r="D324" s="33"/>
      <c r="E324" s="36" t="str">
        <f aca="false">IF(A324="","",YEAR(A324)&amp;"-"&amp;TEXT(MONTH(A324),"00"))</f>
        <v/>
      </c>
      <c r="F324" s="2" t="str">
        <f aca="true">IF(A324="","",IF(A324&lt;=TODAY(),"Payée","Prévue"))</f>
        <v/>
      </c>
    </row>
    <row r="325" customFormat="false" ht="15" hidden="false" customHeight="false" outlineLevel="0" collapsed="false">
      <c r="A325" s="35"/>
      <c r="B325" s="34"/>
      <c r="C325" s="33"/>
      <c r="D325" s="33"/>
      <c r="E325" s="36" t="str">
        <f aca="false">IF(A325="","",YEAR(A325)&amp;"-"&amp;TEXT(MONTH(A325),"00"))</f>
        <v/>
      </c>
      <c r="F325" s="2" t="str">
        <f aca="true">IF(A325="","",IF(A325&lt;=TODAY(),"Payée","Prévue"))</f>
        <v/>
      </c>
    </row>
    <row r="326" customFormat="false" ht="15" hidden="false" customHeight="false" outlineLevel="0" collapsed="false">
      <c r="A326" s="35"/>
      <c r="B326" s="34"/>
      <c r="C326" s="33"/>
      <c r="D326" s="33"/>
      <c r="E326" s="36" t="str">
        <f aca="false">IF(A326="","",YEAR(A326)&amp;"-"&amp;TEXT(MONTH(A326),"00"))</f>
        <v/>
      </c>
      <c r="F326" s="2" t="str">
        <f aca="true">IF(A326="","",IF(A326&lt;=TODAY(),"Payée","Prévue"))</f>
        <v/>
      </c>
    </row>
    <row r="327" customFormat="false" ht="15" hidden="false" customHeight="false" outlineLevel="0" collapsed="false">
      <c r="A327" s="35"/>
      <c r="B327" s="34"/>
      <c r="C327" s="33"/>
      <c r="D327" s="33"/>
      <c r="E327" s="36" t="str">
        <f aca="false">IF(A327="","",YEAR(A327)&amp;"-"&amp;TEXT(MONTH(A327),"00"))</f>
        <v/>
      </c>
      <c r="F327" s="2" t="str">
        <f aca="true">IF(A327="","",IF(A327&lt;=TODAY(),"Payée","Prévue"))</f>
        <v/>
      </c>
    </row>
    <row r="328" customFormat="false" ht="15" hidden="false" customHeight="false" outlineLevel="0" collapsed="false">
      <c r="A328" s="35"/>
      <c r="B328" s="34"/>
      <c r="C328" s="33"/>
      <c r="D328" s="33"/>
      <c r="E328" s="36" t="str">
        <f aca="false">IF(A328="","",YEAR(A328)&amp;"-"&amp;TEXT(MONTH(A328),"00"))</f>
        <v/>
      </c>
      <c r="F328" s="2" t="str">
        <f aca="true">IF(A328="","",IF(A328&lt;=TODAY(),"Payée","Prévue"))</f>
        <v/>
      </c>
    </row>
    <row r="329" customFormat="false" ht="15" hidden="false" customHeight="false" outlineLevel="0" collapsed="false">
      <c r="A329" s="35"/>
      <c r="B329" s="34"/>
      <c r="C329" s="33"/>
      <c r="D329" s="33"/>
      <c r="E329" s="36" t="str">
        <f aca="false">IF(A329="","",YEAR(A329)&amp;"-"&amp;TEXT(MONTH(A329),"00"))</f>
        <v/>
      </c>
      <c r="F329" s="2" t="str">
        <f aca="true">IF(A329="","",IF(A329&lt;=TODAY(),"Payée","Prévue"))</f>
        <v/>
      </c>
    </row>
    <row r="330" customFormat="false" ht="15" hidden="false" customHeight="false" outlineLevel="0" collapsed="false">
      <c r="A330" s="35"/>
      <c r="B330" s="34"/>
      <c r="C330" s="33"/>
      <c r="D330" s="33"/>
      <c r="E330" s="36" t="str">
        <f aca="false">IF(A330="","",YEAR(A330)&amp;"-"&amp;TEXT(MONTH(A330),"00"))</f>
        <v/>
      </c>
      <c r="F330" s="2" t="str">
        <f aca="true">IF(A330="","",IF(A330&lt;=TODAY(),"Payée","Prévue"))</f>
        <v/>
      </c>
    </row>
    <row r="331" customFormat="false" ht="15" hidden="false" customHeight="false" outlineLevel="0" collapsed="false">
      <c r="A331" s="35"/>
      <c r="B331" s="34"/>
      <c r="C331" s="33"/>
      <c r="D331" s="33"/>
      <c r="E331" s="36" t="str">
        <f aca="false">IF(A331="","",YEAR(A331)&amp;"-"&amp;TEXT(MONTH(A331),"00"))</f>
        <v/>
      </c>
      <c r="F331" s="2" t="str">
        <f aca="true">IF(A331="","",IF(A331&lt;=TODAY(),"Payée","Prévue"))</f>
        <v/>
      </c>
    </row>
    <row r="332" customFormat="false" ht="15" hidden="false" customHeight="false" outlineLevel="0" collapsed="false">
      <c r="A332" s="35"/>
      <c r="B332" s="34"/>
      <c r="C332" s="33"/>
      <c r="D332" s="33"/>
      <c r="E332" s="36" t="str">
        <f aca="false">IF(A332="","",YEAR(A332)&amp;"-"&amp;TEXT(MONTH(A332),"00"))</f>
        <v/>
      </c>
      <c r="F332" s="2" t="str">
        <f aca="true">IF(A332="","",IF(A332&lt;=TODAY(),"Payée","Prévue"))</f>
        <v/>
      </c>
    </row>
    <row r="333" customFormat="false" ht="15" hidden="false" customHeight="false" outlineLevel="0" collapsed="false">
      <c r="A333" s="35"/>
      <c r="B333" s="34"/>
      <c r="C333" s="33"/>
      <c r="D333" s="33"/>
      <c r="E333" s="36" t="str">
        <f aca="false">IF(A333="","",YEAR(A333)&amp;"-"&amp;TEXT(MONTH(A333),"00"))</f>
        <v/>
      </c>
      <c r="F333" s="2" t="str">
        <f aca="true">IF(A333="","",IF(A333&lt;=TODAY(),"Payée","Prévue"))</f>
        <v/>
      </c>
    </row>
    <row r="334" customFormat="false" ht="15" hidden="false" customHeight="false" outlineLevel="0" collapsed="false">
      <c r="A334" s="35"/>
      <c r="B334" s="34"/>
      <c r="C334" s="33"/>
      <c r="D334" s="33"/>
      <c r="E334" s="36" t="str">
        <f aca="false">IF(A334="","",YEAR(A334)&amp;"-"&amp;TEXT(MONTH(A334),"00"))</f>
        <v/>
      </c>
      <c r="F334" s="2" t="str">
        <f aca="true">IF(A334="","",IF(A334&lt;=TODAY(),"Payée","Prévue"))</f>
        <v/>
      </c>
    </row>
    <row r="335" customFormat="false" ht="15" hidden="false" customHeight="false" outlineLevel="0" collapsed="false">
      <c r="A335" s="35"/>
      <c r="B335" s="34"/>
      <c r="C335" s="33"/>
      <c r="D335" s="33"/>
      <c r="E335" s="36" t="str">
        <f aca="false">IF(A335="","",YEAR(A335)&amp;"-"&amp;TEXT(MONTH(A335),"00"))</f>
        <v/>
      </c>
      <c r="F335" s="2" t="str">
        <f aca="true">IF(A335="","",IF(A335&lt;=TODAY(),"Payée","Prévue"))</f>
        <v/>
      </c>
    </row>
    <row r="336" customFormat="false" ht="15" hidden="false" customHeight="false" outlineLevel="0" collapsed="false">
      <c r="A336" s="35"/>
      <c r="B336" s="34"/>
      <c r="C336" s="33"/>
      <c r="D336" s="33"/>
      <c r="E336" s="36" t="str">
        <f aca="false">IF(A336="","",YEAR(A336)&amp;"-"&amp;TEXT(MONTH(A336),"00"))</f>
        <v/>
      </c>
      <c r="F336" s="2" t="str">
        <f aca="true">IF(A336="","",IF(A336&lt;=TODAY(),"Payée","Prévue"))</f>
        <v/>
      </c>
    </row>
    <row r="337" customFormat="false" ht="15" hidden="false" customHeight="false" outlineLevel="0" collapsed="false">
      <c r="A337" s="35"/>
      <c r="B337" s="34"/>
      <c r="C337" s="33"/>
      <c r="D337" s="33"/>
      <c r="E337" s="36" t="str">
        <f aca="false">IF(A337="","",YEAR(A337)&amp;"-"&amp;TEXT(MONTH(A337),"00"))</f>
        <v/>
      </c>
      <c r="F337" s="2" t="str">
        <f aca="true">IF(A337="","",IF(A337&lt;=TODAY(),"Payée","Prévue"))</f>
        <v/>
      </c>
    </row>
    <row r="338" customFormat="false" ht="15" hidden="false" customHeight="false" outlineLevel="0" collapsed="false">
      <c r="A338" s="35"/>
      <c r="B338" s="34"/>
      <c r="C338" s="33"/>
      <c r="D338" s="33"/>
      <c r="E338" s="36" t="str">
        <f aca="false">IF(A338="","",YEAR(A338)&amp;"-"&amp;TEXT(MONTH(A338),"00"))</f>
        <v/>
      </c>
      <c r="F338" s="2" t="str">
        <f aca="true">IF(A338="","",IF(A338&lt;=TODAY(),"Payée","Prévue"))</f>
        <v/>
      </c>
    </row>
    <row r="339" customFormat="false" ht="15" hidden="false" customHeight="false" outlineLevel="0" collapsed="false">
      <c r="A339" s="35"/>
      <c r="B339" s="34"/>
      <c r="C339" s="33"/>
      <c r="D339" s="33"/>
      <c r="E339" s="36" t="str">
        <f aca="false">IF(A339="","",YEAR(A339)&amp;"-"&amp;TEXT(MONTH(A339),"00"))</f>
        <v/>
      </c>
      <c r="F339" s="2" t="str">
        <f aca="true">IF(A339="","",IF(A339&lt;=TODAY(),"Payée","Prévue"))</f>
        <v/>
      </c>
    </row>
    <row r="340" customFormat="false" ht="15" hidden="false" customHeight="false" outlineLevel="0" collapsed="false">
      <c r="A340" s="35"/>
      <c r="B340" s="34"/>
      <c r="C340" s="33"/>
      <c r="D340" s="33"/>
      <c r="E340" s="36" t="str">
        <f aca="false">IF(A340="","",YEAR(A340)&amp;"-"&amp;TEXT(MONTH(A340),"00"))</f>
        <v/>
      </c>
      <c r="F340" s="2" t="str">
        <f aca="true">IF(A340="","",IF(A340&lt;=TODAY(),"Payée","Prévue"))</f>
        <v/>
      </c>
    </row>
    <row r="341" customFormat="false" ht="15" hidden="false" customHeight="false" outlineLevel="0" collapsed="false">
      <c r="A341" s="35"/>
      <c r="B341" s="34"/>
      <c r="C341" s="33"/>
      <c r="D341" s="33"/>
      <c r="E341" s="36" t="str">
        <f aca="false">IF(A341="","",YEAR(A341)&amp;"-"&amp;TEXT(MONTH(A341),"00"))</f>
        <v/>
      </c>
      <c r="F341" s="2" t="str">
        <f aca="true">IF(A341="","",IF(A341&lt;=TODAY(),"Payée","Prévue"))</f>
        <v/>
      </c>
    </row>
    <row r="342" customFormat="false" ht="15" hidden="false" customHeight="false" outlineLevel="0" collapsed="false">
      <c r="A342" s="35"/>
      <c r="B342" s="34"/>
      <c r="C342" s="33"/>
      <c r="D342" s="33"/>
      <c r="E342" s="36" t="str">
        <f aca="false">IF(A342="","",YEAR(A342)&amp;"-"&amp;TEXT(MONTH(A342),"00"))</f>
        <v/>
      </c>
      <c r="F342" s="2" t="str">
        <f aca="true">IF(A342="","",IF(A342&lt;=TODAY(),"Payée","Prévue"))</f>
        <v/>
      </c>
    </row>
    <row r="343" customFormat="false" ht="15" hidden="false" customHeight="false" outlineLevel="0" collapsed="false">
      <c r="A343" s="35"/>
      <c r="B343" s="34"/>
      <c r="C343" s="33"/>
      <c r="D343" s="33"/>
      <c r="E343" s="36" t="str">
        <f aca="false">IF(A343="","",YEAR(A343)&amp;"-"&amp;TEXT(MONTH(A343),"00"))</f>
        <v/>
      </c>
      <c r="F343" s="2" t="str">
        <f aca="true">IF(A343="","",IF(A343&lt;=TODAY(),"Payée","Prévue"))</f>
        <v/>
      </c>
    </row>
    <row r="344" customFormat="false" ht="15" hidden="false" customHeight="false" outlineLevel="0" collapsed="false">
      <c r="A344" s="35"/>
      <c r="B344" s="34"/>
      <c r="C344" s="33"/>
      <c r="D344" s="33"/>
      <c r="E344" s="36" t="str">
        <f aca="false">IF(A344="","",YEAR(A344)&amp;"-"&amp;TEXT(MONTH(A344),"00"))</f>
        <v/>
      </c>
      <c r="F344" s="2" t="str">
        <f aca="true">IF(A344="","",IF(A344&lt;=TODAY(),"Payée","Prévue"))</f>
        <v/>
      </c>
    </row>
    <row r="345" customFormat="false" ht="15" hidden="false" customHeight="false" outlineLevel="0" collapsed="false">
      <c r="A345" s="35"/>
      <c r="B345" s="34"/>
      <c r="C345" s="33"/>
      <c r="D345" s="33"/>
      <c r="E345" s="36" t="str">
        <f aca="false">IF(A345="","",YEAR(A345)&amp;"-"&amp;TEXT(MONTH(A345),"00"))</f>
        <v/>
      </c>
      <c r="F345" s="2" t="str">
        <f aca="true">IF(A345="","",IF(A345&lt;=TODAY(),"Payée","Prévue"))</f>
        <v/>
      </c>
    </row>
    <row r="346" customFormat="false" ht="15" hidden="false" customHeight="false" outlineLevel="0" collapsed="false">
      <c r="A346" s="35"/>
      <c r="B346" s="34"/>
      <c r="C346" s="33"/>
      <c r="D346" s="33"/>
      <c r="E346" s="36" t="str">
        <f aca="false">IF(A346="","",YEAR(A346)&amp;"-"&amp;TEXT(MONTH(A346),"00"))</f>
        <v/>
      </c>
      <c r="F346" s="2" t="str">
        <f aca="true">IF(A346="","",IF(A346&lt;=TODAY(),"Payée","Prévue"))</f>
        <v/>
      </c>
    </row>
    <row r="347" customFormat="false" ht="15" hidden="false" customHeight="false" outlineLevel="0" collapsed="false">
      <c r="A347" s="35"/>
      <c r="B347" s="34"/>
      <c r="C347" s="33"/>
      <c r="D347" s="33"/>
      <c r="E347" s="36" t="str">
        <f aca="false">IF(A347="","",YEAR(A347)&amp;"-"&amp;TEXT(MONTH(A347),"00"))</f>
        <v/>
      </c>
      <c r="F347" s="2" t="str">
        <f aca="true">IF(A347="","",IF(A347&lt;=TODAY(),"Payée","Prévue"))</f>
        <v/>
      </c>
    </row>
    <row r="348" customFormat="false" ht="15" hidden="false" customHeight="false" outlineLevel="0" collapsed="false">
      <c r="A348" s="35"/>
      <c r="B348" s="34"/>
      <c r="C348" s="33"/>
      <c r="D348" s="33"/>
      <c r="E348" s="36" t="str">
        <f aca="false">IF(A348="","",YEAR(A348)&amp;"-"&amp;TEXT(MONTH(A348),"00"))</f>
        <v/>
      </c>
      <c r="F348" s="2" t="str">
        <f aca="true">IF(A348="","",IF(A348&lt;=TODAY(),"Payée","Prévue"))</f>
        <v/>
      </c>
    </row>
    <row r="349" customFormat="false" ht="15" hidden="false" customHeight="false" outlineLevel="0" collapsed="false">
      <c r="A349" s="35"/>
      <c r="B349" s="34"/>
      <c r="C349" s="33"/>
      <c r="D349" s="33"/>
      <c r="E349" s="36" t="str">
        <f aca="false">IF(A349="","",YEAR(A349)&amp;"-"&amp;TEXT(MONTH(A349),"00"))</f>
        <v/>
      </c>
      <c r="F349" s="2" t="str">
        <f aca="true">IF(A349="","",IF(A349&lt;=TODAY(),"Payée","Prévue"))</f>
        <v/>
      </c>
    </row>
    <row r="350" customFormat="false" ht="15" hidden="false" customHeight="false" outlineLevel="0" collapsed="false">
      <c r="A350" s="35"/>
      <c r="B350" s="34"/>
      <c r="C350" s="33"/>
      <c r="D350" s="33"/>
      <c r="E350" s="36" t="str">
        <f aca="false">IF(A350="","",YEAR(A350)&amp;"-"&amp;TEXT(MONTH(A350),"00"))</f>
        <v/>
      </c>
      <c r="F350" s="2" t="str">
        <f aca="true">IF(A350="","",IF(A350&lt;=TODAY(),"Payée","Prévue"))</f>
        <v/>
      </c>
    </row>
    <row r="351" customFormat="false" ht="15" hidden="false" customHeight="false" outlineLevel="0" collapsed="false">
      <c r="A351" s="35"/>
      <c r="B351" s="34"/>
      <c r="C351" s="33"/>
      <c r="D351" s="33"/>
      <c r="E351" s="36" t="str">
        <f aca="false">IF(A351="","",YEAR(A351)&amp;"-"&amp;TEXT(MONTH(A351),"00"))</f>
        <v/>
      </c>
      <c r="F351" s="2" t="str">
        <f aca="true">IF(A351="","",IF(A351&lt;=TODAY(),"Payée","Prévue"))</f>
        <v/>
      </c>
    </row>
    <row r="352" customFormat="false" ht="15" hidden="false" customHeight="false" outlineLevel="0" collapsed="false">
      <c r="A352" s="35"/>
      <c r="B352" s="34"/>
      <c r="C352" s="33"/>
      <c r="D352" s="33"/>
      <c r="E352" s="36" t="str">
        <f aca="false">IF(A352="","",YEAR(A352)&amp;"-"&amp;TEXT(MONTH(A352),"00"))</f>
        <v/>
      </c>
      <c r="F352" s="2" t="str">
        <f aca="true">IF(A352="","",IF(A352&lt;=TODAY(),"Payée","Prévue"))</f>
        <v/>
      </c>
    </row>
    <row r="353" customFormat="false" ht="15" hidden="false" customHeight="false" outlineLevel="0" collapsed="false">
      <c r="A353" s="35"/>
      <c r="B353" s="34"/>
      <c r="C353" s="33"/>
      <c r="D353" s="33"/>
      <c r="E353" s="36" t="str">
        <f aca="false">IF(A353="","",YEAR(A353)&amp;"-"&amp;TEXT(MONTH(A353),"00"))</f>
        <v/>
      </c>
      <c r="F353" s="2" t="str">
        <f aca="true">IF(A353="","",IF(A353&lt;=TODAY(),"Payée","Prévue"))</f>
        <v/>
      </c>
    </row>
    <row r="354" customFormat="false" ht="15" hidden="false" customHeight="false" outlineLevel="0" collapsed="false">
      <c r="A354" s="35"/>
      <c r="B354" s="34"/>
      <c r="C354" s="33"/>
      <c r="D354" s="33"/>
      <c r="E354" s="36" t="str">
        <f aca="false">IF(A354="","",YEAR(A354)&amp;"-"&amp;TEXT(MONTH(A354),"00"))</f>
        <v/>
      </c>
      <c r="F354" s="2" t="str">
        <f aca="true">IF(A354="","",IF(A354&lt;=TODAY(),"Payée","Prévue"))</f>
        <v/>
      </c>
    </row>
    <row r="355" customFormat="false" ht="15" hidden="false" customHeight="false" outlineLevel="0" collapsed="false">
      <c r="A355" s="35"/>
      <c r="B355" s="34"/>
      <c r="C355" s="33"/>
      <c r="D355" s="33"/>
      <c r="E355" s="36" t="str">
        <f aca="false">IF(A355="","",YEAR(A355)&amp;"-"&amp;TEXT(MONTH(A355),"00"))</f>
        <v/>
      </c>
      <c r="F355" s="2" t="str">
        <f aca="true">IF(A355="","",IF(A355&lt;=TODAY(),"Payée","Prévue"))</f>
        <v/>
      </c>
    </row>
    <row r="356" customFormat="false" ht="15" hidden="false" customHeight="false" outlineLevel="0" collapsed="false">
      <c r="A356" s="35"/>
      <c r="B356" s="34"/>
      <c r="C356" s="33"/>
      <c r="D356" s="33"/>
      <c r="E356" s="36" t="str">
        <f aca="false">IF(A356="","",YEAR(A356)&amp;"-"&amp;TEXT(MONTH(A356),"00"))</f>
        <v/>
      </c>
      <c r="F356" s="2" t="str">
        <f aca="true">IF(A356="","",IF(A356&lt;=TODAY(),"Payée","Prévue"))</f>
        <v/>
      </c>
    </row>
    <row r="357" customFormat="false" ht="15" hidden="false" customHeight="false" outlineLevel="0" collapsed="false">
      <c r="A357" s="35"/>
      <c r="B357" s="34"/>
      <c r="C357" s="33"/>
      <c r="D357" s="33"/>
      <c r="E357" s="36" t="str">
        <f aca="false">IF(A357="","",YEAR(A357)&amp;"-"&amp;TEXT(MONTH(A357),"00"))</f>
        <v/>
      </c>
      <c r="F357" s="2" t="str">
        <f aca="true">IF(A357="","",IF(A357&lt;=TODAY(),"Payée","Prévue"))</f>
        <v/>
      </c>
    </row>
    <row r="358" customFormat="false" ht="15" hidden="false" customHeight="false" outlineLevel="0" collapsed="false">
      <c r="A358" s="35"/>
      <c r="B358" s="34"/>
      <c r="C358" s="33"/>
      <c r="D358" s="33"/>
      <c r="E358" s="36" t="str">
        <f aca="false">IF(A358="","",YEAR(A358)&amp;"-"&amp;TEXT(MONTH(A358),"00"))</f>
        <v/>
      </c>
      <c r="F358" s="2" t="str">
        <f aca="true">IF(A358="","",IF(A358&lt;=TODAY(),"Payée","Prévue"))</f>
        <v/>
      </c>
    </row>
    <row r="359" customFormat="false" ht="15" hidden="false" customHeight="false" outlineLevel="0" collapsed="false">
      <c r="A359" s="35"/>
      <c r="B359" s="34"/>
      <c r="C359" s="33"/>
      <c r="D359" s="33"/>
      <c r="E359" s="36" t="str">
        <f aca="false">IF(A359="","",YEAR(A359)&amp;"-"&amp;TEXT(MONTH(A359),"00"))</f>
        <v/>
      </c>
      <c r="F359" s="2" t="str">
        <f aca="true">IF(A359="","",IF(A359&lt;=TODAY(),"Payée","Prévue"))</f>
        <v/>
      </c>
    </row>
    <row r="360" customFormat="false" ht="15" hidden="false" customHeight="false" outlineLevel="0" collapsed="false">
      <c r="A360" s="35"/>
      <c r="B360" s="34"/>
      <c r="C360" s="33"/>
      <c r="D360" s="33"/>
      <c r="E360" s="36" t="str">
        <f aca="false">IF(A360="","",YEAR(A360)&amp;"-"&amp;TEXT(MONTH(A360),"00"))</f>
        <v/>
      </c>
      <c r="F360" s="2" t="str">
        <f aca="true">IF(A360="","",IF(A360&lt;=TODAY(),"Payée","Prévue"))</f>
        <v/>
      </c>
    </row>
    <row r="361" customFormat="false" ht="15" hidden="false" customHeight="false" outlineLevel="0" collapsed="false">
      <c r="A361" s="35"/>
      <c r="B361" s="34"/>
      <c r="C361" s="33"/>
      <c r="D361" s="33"/>
      <c r="E361" s="36" t="str">
        <f aca="false">IF(A361="","",YEAR(A361)&amp;"-"&amp;TEXT(MONTH(A361),"00"))</f>
        <v/>
      </c>
      <c r="F361" s="2" t="str">
        <f aca="true">IF(A361="","",IF(A361&lt;=TODAY(),"Payée","Prévue"))</f>
        <v/>
      </c>
    </row>
    <row r="362" customFormat="false" ht="15" hidden="false" customHeight="false" outlineLevel="0" collapsed="false">
      <c r="A362" s="35"/>
      <c r="B362" s="34"/>
      <c r="C362" s="33"/>
      <c r="D362" s="33"/>
      <c r="E362" s="36" t="str">
        <f aca="false">IF(A362="","",YEAR(A362)&amp;"-"&amp;TEXT(MONTH(A362),"00"))</f>
        <v/>
      </c>
      <c r="F362" s="2" t="str">
        <f aca="true">IF(A362="","",IF(A362&lt;=TODAY(),"Payée","Prévue"))</f>
        <v/>
      </c>
    </row>
    <row r="363" customFormat="false" ht="15" hidden="false" customHeight="false" outlineLevel="0" collapsed="false">
      <c r="A363" s="35"/>
      <c r="B363" s="34"/>
      <c r="C363" s="33"/>
      <c r="D363" s="33"/>
      <c r="E363" s="36" t="str">
        <f aca="false">IF(A363="","",YEAR(A363)&amp;"-"&amp;TEXT(MONTH(A363),"00"))</f>
        <v/>
      </c>
      <c r="F363" s="2" t="str">
        <f aca="true">IF(A363="","",IF(A363&lt;=TODAY(),"Payée","Prévue"))</f>
        <v/>
      </c>
    </row>
    <row r="364" customFormat="false" ht="15" hidden="false" customHeight="false" outlineLevel="0" collapsed="false">
      <c r="A364" s="35"/>
      <c r="B364" s="34"/>
      <c r="C364" s="33"/>
      <c r="D364" s="33"/>
      <c r="E364" s="36" t="str">
        <f aca="false">IF(A364="","",YEAR(A364)&amp;"-"&amp;TEXT(MONTH(A364),"00"))</f>
        <v/>
      </c>
      <c r="F364" s="2" t="str">
        <f aca="true">IF(A364="","",IF(A364&lt;=TODAY(),"Payée","Prévue"))</f>
        <v/>
      </c>
    </row>
    <row r="365" customFormat="false" ht="15" hidden="false" customHeight="false" outlineLevel="0" collapsed="false">
      <c r="A365" s="35"/>
      <c r="B365" s="34"/>
      <c r="C365" s="33"/>
      <c r="D365" s="33"/>
      <c r="E365" s="36" t="str">
        <f aca="false">IF(A365="","",YEAR(A365)&amp;"-"&amp;TEXT(MONTH(A365),"00"))</f>
        <v/>
      </c>
      <c r="F365" s="2" t="str">
        <f aca="true">IF(A365="","",IF(A365&lt;=TODAY(),"Payée","Prévue"))</f>
        <v/>
      </c>
    </row>
    <row r="366" customFormat="false" ht="15" hidden="false" customHeight="false" outlineLevel="0" collapsed="false">
      <c r="A366" s="35"/>
      <c r="B366" s="34"/>
      <c r="C366" s="33"/>
      <c r="D366" s="33"/>
      <c r="E366" s="36" t="str">
        <f aca="false">IF(A366="","",YEAR(A366)&amp;"-"&amp;TEXT(MONTH(A366),"00"))</f>
        <v/>
      </c>
      <c r="F366" s="2" t="str">
        <f aca="true">IF(A366="","",IF(A366&lt;=TODAY(),"Payée","Prévue"))</f>
        <v/>
      </c>
    </row>
    <row r="367" customFormat="false" ht="15" hidden="false" customHeight="false" outlineLevel="0" collapsed="false">
      <c r="A367" s="35"/>
      <c r="B367" s="34"/>
      <c r="C367" s="33"/>
      <c r="D367" s="33"/>
      <c r="E367" s="36" t="str">
        <f aca="false">IF(A367="","",YEAR(A367)&amp;"-"&amp;TEXT(MONTH(A367),"00"))</f>
        <v/>
      </c>
      <c r="F367" s="2" t="str">
        <f aca="true">IF(A367="","",IF(A367&lt;=TODAY(),"Payée","Prévue"))</f>
        <v/>
      </c>
    </row>
    <row r="368" customFormat="false" ht="15" hidden="false" customHeight="false" outlineLevel="0" collapsed="false">
      <c r="A368" s="35"/>
      <c r="B368" s="34"/>
      <c r="C368" s="33"/>
      <c r="D368" s="33"/>
      <c r="E368" s="36" t="str">
        <f aca="false">IF(A368="","",YEAR(A368)&amp;"-"&amp;TEXT(MONTH(A368),"00"))</f>
        <v/>
      </c>
      <c r="F368" s="2" t="str">
        <f aca="true">IF(A368="","",IF(A368&lt;=TODAY(),"Payée","Prévue"))</f>
        <v/>
      </c>
    </row>
    <row r="369" customFormat="false" ht="15" hidden="false" customHeight="false" outlineLevel="0" collapsed="false">
      <c r="A369" s="35"/>
      <c r="B369" s="34"/>
      <c r="C369" s="33"/>
      <c r="D369" s="33"/>
      <c r="E369" s="36" t="str">
        <f aca="false">IF(A369="","",YEAR(A369)&amp;"-"&amp;TEXT(MONTH(A369),"00"))</f>
        <v/>
      </c>
      <c r="F369" s="2" t="str">
        <f aca="true">IF(A369="","",IF(A369&lt;=TODAY(),"Payée","Prévue"))</f>
        <v/>
      </c>
    </row>
    <row r="370" customFormat="false" ht="15" hidden="false" customHeight="false" outlineLevel="0" collapsed="false">
      <c r="A370" s="35"/>
      <c r="B370" s="34"/>
      <c r="C370" s="33"/>
      <c r="D370" s="33"/>
      <c r="E370" s="36" t="str">
        <f aca="false">IF(A370="","",YEAR(A370)&amp;"-"&amp;TEXT(MONTH(A370),"00"))</f>
        <v/>
      </c>
      <c r="F370" s="2" t="str">
        <f aca="true">IF(A370="","",IF(A370&lt;=TODAY(),"Payée","Prévue"))</f>
        <v/>
      </c>
    </row>
    <row r="371" customFormat="false" ht="15" hidden="false" customHeight="false" outlineLevel="0" collapsed="false">
      <c r="A371" s="35"/>
      <c r="B371" s="34"/>
      <c r="C371" s="33"/>
      <c r="D371" s="33"/>
      <c r="E371" s="36" t="str">
        <f aca="false">IF(A371="","",YEAR(A371)&amp;"-"&amp;TEXT(MONTH(A371),"00"))</f>
        <v/>
      </c>
      <c r="F371" s="2" t="str">
        <f aca="true">IF(A371="","",IF(A371&lt;=TODAY(),"Payée","Prévue"))</f>
        <v/>
      </c>
    </row>
    <row r="372" customFormat="false" ht="15" hidden="false" customHeight="false" outlineLevel="0" collapsed="false">
      <c r="A372" s="35"/>
      <c r="B372" s="34"/>
      <c r="C372" s="33"/>
      <c r="D372" s="33"/>
      <c r="E372" s="36" t="str">
        <f aca="false">IF(A372="","",YEAR(A372)&amp;"-"&amp;TEXT(MONTH(A372),"00"))</f>
        <v/>
      </c>
      <c r="F372" s="2" t="str">
        <f aca="true">IF(A372="","",IF(A372&lt;=TODAY(),"Payée","Prévue"))</f>
        <v/>
      </c>
    </row>
    <row r="373" customFormat="false" ht="15" hidden="false" customHeight="false" outlineLevel="0" collapsed="false">
      <c r="A373" s="35"/>
      <c r="B373" s="34"/>
      <c r="C373" s="33"/>
      <c r="D373" s="33"/>
      <c r="E373" s="36" t="str">
        <f aca="false">IF(A373="","",YEAR(A373)&amp;"-"&amp;TEXT(MONTH(A373),"00"))</f>
        <v/>
      </c>
      <c r="F373" s="2" t="str">
        <f aca="true">IF(A373="","",IF(A373&lt;=TODAY(),"Payée","Prévue"))</f>
        <v/>
      </c>
    </row>
    <row r="374" customFormat="false" ht="15" hidden="false" customHeight="false" outlineLevel="0" collapsed="false">
      <c r="A374" s="35"/>
      <c r="B374" s="34"/>
      <c r="C374" s="33"/>
      <c r="D374" s="33"/>
      <c r="E374" s="36" t="str">
        <f aca="false">IF(A374="","",YEAR(A374)&amp;"-"&amp;TEXT(MONTH(A374),"00"))</f>
        <v/>
      </c>
      <c r="F374" s="2" t="str">
        <f aca="true">IF(A374="","",IF(A374&lt;=TODAY(),"Payée","Prévue"))</f>
        <v/>
      </c>
    </row>
    <row r="375" customFormat="false" ht="15" hidden="false" customHeight="false" outlineLevel="0" collapsed="false">
      <c r="A375" s="35"/>
      <c r="B375" s="34"/>
      <c r="C375" s="33"/>
      <c r="D375" s="33"/>
      <c r="E375" s="36" t="str">
        <f aca="false">IF(A375="","",YEAR(A375)&amp;"-"&amp;TEXT(MONTH(A375),"00"))</f>
        <v/>
      </c>
      <c r="F375" s="2" t="str">
        <f aca="true">IF(A375="","",IF(A375&lt;=TODAY(),"Payée","Prévue"))</f>
        <v/>
      </c>
    </row>
    <row r="376" customFormat="false" ht="15" hidden="false" customHeight="false" outlineLevel="0" collapsed="false">
      <c r="A376" s="35"/>
      <c r="B376" s="34"/>
      <c r="C376" s="33"/>
      <c r="D376" s="33"/>
      <c r="E376" s="36" t="str">
        <f aca="false">IF(A376="","",YEAR(A376)&amp;"-"&amp;TEXT(MONTH(A376),"00"))</f>
        <v/>
      </c>
      <c r="F376" s="2" t="str">
        <f aca="true">IF(A376="","",IF(A376&lt;=TODAY(),"Payée","Prévue"))</f>
        <v/>
      </c>
    </row>
    <row r="377" customFormat="false" ht="15" hidden="false" customHeight="false" outlineLevel="0" collapsed="false">
      <c r="A377" s="35"/>
      <c r="B377" s="34"/>
      <c r="C377" s="33"/>
      <c r="D377" s="33"/>
      <c r="E377" s="36" t="str">
        <f aca="false">IF(A377="","",YEAR(A377)&amp;"-"&amp;TEXT(MONTH(A377),"00"))</f>
        <v/>
      </c>
      <c r="F377" s="2" t="str">
        <f aca="true">IF(A377="","",IF(A377&lt;=TODAY(),"Payée","Prévue"))</f>
        <v/>
      </c>
    </row>
    <row r="378" customFormat="false" ht="15" hidden="false" customHeight="false" outlineLevel="0" collapsed="false">
      <c r="A378" s="35"/>
      <c r="B378" s="34"/>
      <c r="C378" s="33"/>
      <c r="D378" s="33"/>
      <c r="E378" s="36" t="str">
        <f aca="false">IF(A378="","",YEAR(A378)&amp;"-"&amp;TEXT(MONTH(A378),"00"))</f>
        <v/>
      </c>
      <c r="F378" s="2" t="str">
        <f aca="true">IF(A378="","",IF(A378&lt;=TODAY(),"Payée","Prévue"))</f>
        <v/>
      </c>
    </row>
    <row r="379" customFormat="false" ht="15" hidden="false" customHeight="false" outlineLevel="0" collapsed="false">
      <c r="A379" s="35"/>
      <c r="B379" s="34"/>
      <c r="C379" s="33"/>
      <c r="D379" s="33"/>
      <c r="E379" s="36" t="str">
        <f aca="false">IF(A379="","",YEAR(A379)&amp;"-"&amp;TEXT(MONTH(A379),"00"))</f>
        <v/>
      </c>
      <c r="F379" s="2" t="str">
        <f aca="true">IF(A379="","",IF(A379&lt;=TODAY(),"Payée","Prévue"))</f>
        <v/>
      </c>
    </row>
    <row r="380" customFormat="false" ht="15" hidden="false" customHeight="false" outlineLevel="0" collapsed="false">
      <c r="A380" s="35"/>
      <c r="B380" s="34"/>
      <c r="C380" s="33"/>
      <c r="D380" s="33"/>
      <c r="E380" s="36" t="str">
        <f aca="false">IF(A380="","",YEAR(A380)&amp;"-"&amp;TEXT(MONTH(A380),"00"))</f>
        <v/>
      </c>
      <c r="F380" s="2" t="str">
        <f aca="true">IF(A380="","",IF(A380&lt;=TODAY(),"Payée","Prévue"))</f>
        <v/>
      </c>
    </row>
    <row r="381" customFormat="false" ht="15" hidden="false" customHeight="false" outlineLevel="0" collapsed="false">
      <c r="A381" s="35"/>
      <c r="B381" s="34"/>
      <c r="C381" s="33"/>
      <c r="D381" s="33"/>
      <c r="E381" s="36" t="str">
        <f aca="false">IF(A381="","",YEAR(A381)&amp;"-"&amp;TEXT(MONTH(A381),"00"))</f>
        <v/>
      </c>
      <c r="F381" s="2" t="str">
        <f aca="true">IF(A381="","",IF(A381&lt;=TODAY(),"Payée","Prévue"))</f>
        <v/>
      </c>
    </row>
    <row r="382" customFormat="false" ht="15" hidden="false" customHeight="false" outlineLevel="0" collapsed="false">
      <c r="A382" s="35"/>
      <c r="B382" s="34"/>
      <c r="C382" s="33"/>
      <c r="D382" s="33"/>
      <c r="E382" s="36" t="str">
        <f aca="false">IF(A382="","",YEAR(A382)&amp;"-"&amp;TEXT(MONTH(A382),"00"))</f>
        <v/>
      </c>
      <c r="F382" s="2" t="str">
        <f aca="true">IF(A382="","",IF(A382&lt;=TODAY(),"Payée","Prévue"))</f>
        <v/>
      </c>
    </row>
    <row r="383" customFormat="false" ht="15" hidden="false" customHeight="false" outlineLevel="0" collapsed="false">
      <c r="A383" s="35"/>
      <c r="B383" s="34"/>
      <c r="C383" s="33"/>
      <c r="D383" s="33"/>
      <c r="E383" s="36" t="str">
        <f aca="false">IF(A383="","",YEAR(A383)&amp;"-"&amp;TEXT(MONTH(A383),"00"))</f>
        <v/>
      </c>
      <c r="F383" s="2" t="str">
        <f aca="true">IF(A383="","",IF(A383&lt;=TODAY(),"Payée","Prévue"))</f>
        <v/>
      </c>
    </row>
    <row r="384" customFormat="false" ht="15" hidden="false" customHeight="false" outlineLevel="0" collapsed="false">
      <c r="A384" s="35"/>
      <c r="B384" s="34"/>
      <c r="C384" s="33"/>
      <c r="D384" s="33"/>
      <c r="E384" s="36" t="str">
        <f aca="false">IF(A384="","",YEAR(A384)&amp;"-"&amp;TEXT(MONTH(A384),"00"))</f>
        <v/>
      </c>
      <c r="F384" s="2" t="str">
        <f aca="true">IF(A384="","",IF(A384&lt;=TODAY(),"Payée","Prévue"))</f>
        <v/>
      </c>
    </row>
    <row r="385" customFormat="false" ht="15" hidden="false" customHeight="false" outlineLevel="0" collapsed="false">
      <c r="A385" s="35"/>
      <c r="B385" s="34"/>
      <c r="C385" s="33"/>
      <c r="D385" s="33"/>
      <c r="E385" s="36" t="str">
        <f aca="false">IF(A385="","",YEAR(A385)&amp;"-"&amp;TEXT(MONTH(A385),"00"))</f>
        <v/>
      </c>
      <c r="F385" s="2" t="str">
        <f aca="true">IF(A385="","",IF(A385&lt;=TODAY(),"Payée","Prévue"))</f>
        <v/>
      </c>
    </row>
    <row r="386" customFormat="false" ht="15" hidden="false" customHeight="false" outlineLevel="0" collapsed="false">
      <c r="A386" s="35"/>
      <c r="B386" s="34"/>
      <c r="C386" s="33"/>
      <c r="D386" s="33"/>
      <c r="E386" s="36" t="str">
        <f aca="false">IF(A386="","",YEAR(A386)&amp;"-"&amp;TEXT(MONTH(A386),"00"))</f>
        <v/>
      </c>
      <c r="F386" s="2" t="str">
        <f aca="true">IF(A386="","",IF(A386&lt;=TODAY(),"Payée","Prévue"))</f>
        <v/>
      </c>
    </row>
    <row r="387" customFormat="false" ht="15" hidden="false" customHeight="false" outlineLevel="0" collapsed="false">
      <c r="A387" s="35"/>
      <c r="B387" s="34"/>
      <c r="C387" s="33"/>
      <c r="D387" s="33"/>
      <c r="E387" s="36" t="str">
        <f aca="false">IF(A387="","",YEAR(A387)&amp;"-"&amp;TEXT(MONTH(A387),"00"))</f>
        <v/>
      </c>
      <c r="F387" s="2" t="str">
        <f aca="true">IF(A387="","",IF(A387&lt;=TODAY(),"Payée","Prévue"))</f>
        <v/>
      </c>
    </row>
    <row r="388" customFormat="false" ht="15" hidden="false" customHeight="false" outlineLevel="0" collapsed="false">
      <c r="A388" s="35"/>
      <c r="B388" s="34"/>
      <c r="C388" s="33"/>
      <c r="D388" s="33"/>
      <c r="E388" s="36" t="str">
        <f aca="false">IF(A388="","",YEAR(A388)&amp;"-"&amp;TEXT(MONTH(A388),"00"))</f>
        <v/>
      </c>
      <c r="F388" s="2" t="str">
        <f aca="true">IF(A388="","",IF(A388&lt;=TODAY(),"Payée","Prévue"))</f>
        <v/>
      </c>
    </row>
    <row r="389" customFormat="false" ht="15" hidden="false" customHeight="false" outlineLevel="0" collapsed="false">
      <c r="A389" s="35"/>
      <c r="B389" s="34"/>
      <c r="C389" s="33"/>
      <c r="D389" s="33"/>
      <c r="E389" s="36" t="str">
        <f aca="false">IF(A389="","",YEAR(A389)&amp;"-"&amp;TEXT(MONTH(A389),"00"))</f>
        <v/>
      </c>
      <c r="F389" s="2" t="str">
        <f aca="true">IF(A389="","",IF(A389&lt;=TODAY(),"Payée","Prévue"))</f>
        <v/>
      </c>
    </row>
    <row r="390" customFormat="false" ht="15" hidden="false" customHeight="false" outlineLevel="0" collapsed="false">
      <c r="A390" s="35"/>
      <c r="B390" s="34"/>
      <c r="C390" s="33"/>
      <c r="D390" s="33"/>
      <c r="E390" s="36" t="str">
        <f aca="false">IF(A390="","",YEAR(A390)&amp;"-"&amp;TEXT(MONTH(A390),"00"))</f>
        <v/>
      </c>
      <c r="F390" s="2" t="str">
        <f aca="true">IF(A390="","",IF(A390&lt;=TODAY(),"Payée","Prévue"))</f>
        <v/>
      </c>
    </row>
    <row r="391" customFormat="false" ht="15" hidden="false" customHeight="false" outlineLevel="0" collapsed="false">
      <c r="A391" s="35"/>
      <c r="B391" s="34"/>
      <c r="C391" s="33"/>
      <c r="D391" s="33"/>
      <c r="E391" s="36" t="str">
        <f aca="false">IF(A391="","",YEAR(A391)&amp;"-"&amp;TEXT(MONTH(A391),"00"))</f>
        <v/>
      </c>
      <c r="F391" s="2" t="str">
        <f aca="true">IF(A391="","",IF(A391&lt;=TODAY(),"Payée","Prévue"))</f>
        <v/>
      </c>
    </row>
    <row r="392" customFormat="false" ht="15" hidden="false" customHeight="false" outlineLevel="0" collapsed="false">
      <c r="A392" s="35"/>
      <c r="B392" s="34"/>
      <c r="C392" s="33"/>
      <c r="D392" s="33"/>
      <c r="E392" s="36" t="str">
        <f aca="false">IF(A392="","",YEAR(A392)&amp;"-"&amp;TEXT(MONTH(A392),"00"))</f>
        <v/>
      </c>
      <c r="F392" s="2" t="str">
        <f aca="true">IF(A392="","",IF(A392&lt;=TODAY(),"Payée","Prévue"))</f>
        <v/>
      </c>
    </row>
    <row r="393" customFormat="false" ht="15" hidden="false" customHeight="false" outlineLevel="0" collapsed="false">
      <c r="A393" s="35"/>
      <c r="B393" s="34"/>
      <c r="C393" s="33"/>
      <c r="D393" s="33"/>
      <c r="E393" s="36" t="str">
        <f aca="false">IF(A393="","",YEAR(A393)&amp;"-"&amp;TEXT(MONTH(A393),"00"))</f>
        <v/>
      </c>
      <c r="F393" s="2" t="str">
        <f aca="true">IF(A393="","",IF(A393&lt;=TODAY(),"Payée","Prévue"))</f>
        <v/>
      </c>
    </row>
    <row r="394" customFormat="false" ht="15" hidden="false" customHeight="false" outlineLevel="0" collapsed="false">
      <c r="A394" s="35"/>
      <c r="B394" s="34"/>
      <c r="C394" s="33"/>
      <c r="D394" s="33"/>
      <c r="E394" s="36" t="str">
        <f aca="false">IF(A394="","",YEAR(A394)&amp;"-"&amp;TEXT(MONTH(A394),"00"))</f>
        <v/>
      </c>
      <c r="F394" s="2" t="str">
        <f aca="true">IF(A394="","",IF(A394&lt;=TODAY(),"Payée","Prévue"))</f>
        <v/>
      </c>
    </row>
    <row r="395" customFormat="false" ht="15" hidden="false" customHeight="false" outlineLevel="0" collapsed="false">
      <c r="A395" s="35"/>
      <c r="B395" s="34"/>
      <c r="C395" s="33"/>
      <c r="D395" s="33"/>
      <c r="E395" s="36" t="str">
        <f aca="false">IF(A395="","",YEAR(A395)&amp;"-"&amp;TEXT(MONTH(A395),"00"))</f>
        <v/>
      </c>
      <c r="F395" s="2" t="str">
        <f aca="true">IF(A395="","",IF(A395&lt;=TODAY(),"Payée","Prévue"))</f>
        <v/>
      </c>
    </row>
    <row r="396" customFormat="false" ht="15" hidden="false" customHeight="false" outlineLevel="0" collapsed="false">
      <c r="A396" s="35"/>
      <c r="B396" s="34"/>
      <c r="C396" s="33"/>
      <c r="D396" s="33"/>
      <c r="E396" s="36" t="str">
        <f aca="false">IF(A396="","",YEAR(A396)&amp;"-"&amp;TEXT(MONTH(A396),"00"))</f>
        <v/>
      </c>
      <c r="F396" s="2" t="str">
        <f aca="true">IF(A396="","",IF(A396&lt;=TODAY(),"Payée","Prévue"))</f>
        <v/>
      </c>
    </row>
    <row r="397" customFormat="false" ht="15" hidden="false" customHeight="false" outlineLevel="0" collapsed="false">
      <c r="A397" s="35"/>
      <c r="B397" s="34"/>
      <c r="C397" s="33"/>
      <c r="D397" s="33"/>
      <c r="E397" s="36" t="str">
        <f aca="false">IF(A397="","",YEAR(A397)&amp;"-"&amp;TEXT(MONTH(A397),"00"))</f>
        <v/>
      </c>
      <c r="F397" s="2" t="str">
        <f aca="true">IF(A397="","",IF(A397&lt;=TODAY(),"Payée","Prévue"))</f>
        <v/>
      </c>
    </row>
    <row r="398" customFormat="false" ht="15" hidden="false" customHeight="false" outlineLevel="0" collapsed="false">
      <c r="A398" s="35"/>
      <c r="B398" s="34"/>
      <c r="C398" s="33"/>
      <c r="D398" s="33"/>
      <c r="E398" s="36" t="str">
        <f aca="false">IF(A398="","",YEAR(A398)&amp;"-"&amp;TEXT(MONTH(A398),"00"))</f>
        <v/>
      </c>
      <c r="F398" s="2" t="str">
        <f aca="true">IF(A398="","",IF(A398&lt;=TODAY(),"Payée","Prévue"))</f>
        <v/>
      </c>
    </row>
    <row r="399" customFormat="false" ht="15" hidden="false" customHeight="false" outlineLevel="0" collapsed="false">
      <c r="A399" s="35"/>
      <c r="B399" s="34"/>
      <c r="C399" s="33"/>
      <c r="D399" s="33"/>
      <c r="E399" s="36" t="str">
        <f aca="false">IF(A399="","",YEAR(A399)&amp;"-"&amp;TEXT(MONTH(A399),"00"))</f>
        <v/>
      </c>
      <c r="F399" s="2" t="str">
        <f aca="true">IF(A399="","",IF(A399&lt;=TODAY(),"Payée","Prévue"))</f>
        <v/>
      </c>
    </row>
    <row r="400" customFormat="false" ht="15" hidden="false" customHeight="false" outlineLevel="0" collapsed="false">
      <c r="A400" s="35"/>
      <c r="B400" s="34"/>
      <c r="C400" s="33"/>
      <c r="D400" s="33"/>
      <c r="E400" s="36" t="str">
        <f aca="false">IF(A400="","",YEAR(A400)&amp;"-"&amp;TEXT(MONTH(A400),"00"))</f>
        <v/>
      </c>
      <c r="F400" s="2" t="str">
        <f aca="true">IF(A400="","",IF(A400&lt;=TODAY(),"Payée","Prévue"))</f>
        <v/>
      </c>
    </row>
    <row r="401" customFormat="false" ht="15" hidden="false" customHeight="false" outlineLevel="0" collapsed="false">
      <c r="A401" s="35"/>
      <c r="B401" s="34"/>
      <c r="C401" s="33"/>
      <c r="D401" s="33"/>
      <c r="E401" s="36" t="str">
        <f aca="false">IF(A401="","",YEAR(A401)&amp;"-"&amp;TEXT(MONTH(A401),"00"))</f>
        <v/>
      </c>
      <c r="F401" s="2" t="str">
        <f aca="true">IF(A401="","",IF(A401&lt;=TODAY(),"Payée","Prévue"))</f>
        <v/>
      </c>
    </row>
    <row r="402" customFormat="false" ht="15" hidden="false" customHeight="false" outlineLevel="0" collapsed="false">
      <c r="A402" s="35"/>
      <c r="B402" s="34"/>
      <c r="C402" s="33"/>
      <c r="D402" s="33"/>
      <c r="E402" s="36" t="str">
        <f aca="false">IF(A402="","",YEAR(A402)&amp;"-"&amp;TEXT(MONTH(A402),"00"))</f>
        <v/>
      </c>
      <c r="F402" s="2" t="str">
        <f aca="true">IF(A402="","",IF(A402&lt;=TODAY(),"Payée","Prévue"))</f>
        <v/>
      </c>
    </row>
    <row r="403" customFormat="false" ht="15" hidden="false" customHeight="false" outlineLevel="0" collapsed="false">
      <c r="A403" s="35"/>
      <c r="B403" s="34"/>
      <c r="C403" s="33"/>
      <c r="D403" s="33"/>
      <c r="E403" s="36" t="str">
        <f aca="false">IF(A403="","",YEAR(A403)&amp;"-"&amp;TEXT(MONTH(A403),"00"))</f>
        <v/>
      </c>
      <c r="F403" s="2" t="str">
        <f aca="true">IF(A403="","",IF(A403&lt;=TODAY(),"Payée","Prévue"))</f>
        <v/>
      </c>
    </row>
    <row r="404" customFormat="false" ht="15" hidden="false" customHeight="false" outlineLevel="0" collapsed="false">
      <c r="A404" s="35"/>
      <c r="B404" s="34"/>
      <c r="C404" s="33"/>
      <c r="D404" s="33"/>
      <c r="E404" s="36" t="str">
        <f aca="false">IF(A404="","",YEAR(A404)&amp;"-"&amp;TEXT(MONTH(A404),"00"))</f>
        <v/>
      </c>
      <c r="F404" s="2" t="str">
        <f aca="true">IF(A404="","",IF(A404&lt;=TODAY(),"Payée","Prévue"))</f>
        <v/>
      </c>
    </row>
    <row r="405" customFormat="false" ht="15" hidden="false" customHeight="false" outlineLevel="0" collapsed="false">
      <c r="A405" s="35"/>
      <c r="B405" s="34"/>
      <c r="C405" s="33"/>
      <c r="D405" s="33"/>
      <c r="E405" s="36" t="str">
        <f aca="false">IF(A405="","",YEAR(A405)&amp;"-"&amp;TEXT(MONTH(A405),"00"))</f>
        <v/>
      </c>
      <c r="F405" s="2" t="str">
        <f aca="true">IF(A405="","",IF(A405&lt;=TODAY(),"Payée","Prévue"))</f>
        <v/>
      </c>
    </row>
    <row r="406" customFormat="false" ht="15" hidden="false" customHeight="false" outlineLevel="0" collapsed="false">
      <c r="A406" s="35"/>
      <c r="B406" s="34"/>
      <c r="C406" s="33"/>
      <c r="D406" s="33"/>
      <c r="E406" s="36" t="str">
        <f aca="false">IF(A406="","",YEAR(A406)&amp;"-"&amp;TEXT(MONTH(A406),"00"))</f>
        <v/>
      </c>
      <c r="F406" s="2" t="str">
        <f aca="true">IF(A406="","",IF(A406&lt;=TODAY(),"Payée","Prévue"))</f>
        <v/>
      </c>
    </row>
    <row r="407" customFormat="false" ht="15" hidden="false" customHeight="false" outlineLevel="0" collapsed="false">
      <c r="A407" s="35"/>
      <c r="B407" s="34"/>
      <c r="C407" s="33"/>
      <c r="D407" s="33"/>
      <c r="E407" s="36" t="str">
        <f aca="false">IF(A407="","",YEAR(A407)&amp;"-"&amp;TEXT(MONTH(A407),"00"))</f>
        <v/>
      </c>
      <c r="F407" s="2" t="str">
        <f aca="true">IF(A407="","",IF(A407&lt;=TODAY(),"Payée","Prévue"))</f>
        <v/>
      </c>
    </row>
    <row r="408" customFormat="false" ht="15" hidden="false" customHeight="false" outlineLevel="0" collapsed="false">
      <c r="A408" s="35"/>
      <c r="B408" s="34"/>
      <c r="C408" s="33"/>
      <c r="D408" s="33"/>
      <c r="E408" s="36" t="str">
        <f aca="false">IF(A408="","",YEAR(A408)&amp;"-"&amp;TEXT(MONTH(A408),"00"))</f>
        <v/>
      </c>
      <c r="F408" s="2" t="str">
        <f aca="true">IF(A408="","",IF(A408&lt;=TODAY(),"Payée","Prévue"))</f>
        <v/>
      </c>
    </row>
    <row r="409" customFormat="false" ht="15" hidden="false" customHeight="false" outlineLevel="0" collapsed="false">
      <c r="A409" s="35"/>
      <c r="B409" s="34"/>
      <c r="C409" s="33"/>
      <c r="D409" s="33"/>
      <c r="E409" s="36" t="str">
        <f aca="false">IF(A409="","",YEAR(A409)&amp;"-"&amp;TEXT(MONTH(A409),"00"))</f>
        <v/>
      </c>
      <c r="F409" s="2" t="str">
        <f aca="true">IF(A409="","",IF(A409&lt;=TODAY(),"Payée","Prévue"))</f>
        <v/>
      </c>
    </row>
    <row r="410" customFormat="false" ht="15" hidden="false" customHeight="false" outlineLevel="0" collapsed="false">
      <c r="A410" s="35"/>
      <c r="B410" s="34"/>
      <c r="C410" s="33"/>
      <c r="D410" s="33"/>
      <c r="E410" s="36" t="str">
        <f aca="false">IF(A410="","",YEAR(A410)&amp;"-"&amp;TEXT(MONTH(A410),"00"))</f>
        <v/>
      </c>
      <c r="F410" s="2" t="str">
        <f aca="true">IF(A410="","",IF(A410&lt;=TODAY(),"Payée","Prévue"))</f>
        <v/>
      </c>
    </row>
    <row r="411" customFormat="false" ht="15" hidden="false" customHeight="false" outlineLevel="0" collapsed="false">
      <c r="A411" s="35"/>
      <c r="B411" s="34"/>
      <c r="C411" s="33"/>
      <c r="D411" s="33"/>
      <c r="E411" s="36" t="str">
        <f aca="false">IF(A411="","",YEAR(A411)&amp;"-"&amp;TEXT(MONTH(A411),"00"))</f>
        <v/>
      </c>
      <c r="F411" s="2" t="str">
        <f aca="true">IF(A411="","",IF(A411&lt;=TODAY(),"Payée","Prévue"))</f>
        <v/>
      </c>
    </row>
    <row r="412" customFormat="false" ht="15" hidden="false" customHeight="false" outlineLevel="0" collapsed="false">
      <c r="A412" s="35"/>
      <c r="B412" s="34"/>
      <c r="C412" s="33"/>
      <c r="D412" s="33"/>
      <c r="E412" s="36" t="str">
        <f aca="false">IF(A412="","",YEAR(A412)&amp;"-"&amp;TEXT(MONTH(A412),"00"))</f>
        <v/>
      </c>
      <c r="F412" s="2" t="str">
        <f aca="true">IF(A412="","",IF(A412&lt;=TODAY(),"Payée","Prévue"))</f>
        <v/>
      </c>
    </row>
    <row r="413" customFormat="false" ht="15" hidden="false" customHeight="false" outlineLevel="0" collapsed="false">
      <c r="A413" s="35"/>
      <c r="B413" s="34"/>
      <c r="C413" s="33"/>
      <c r="D413" s="33"/>
      <c r="E413" s="36" t="str">
        <f aca="false">IF(A413="","",YEAR(A413)&amp;"-"&amp;TEXT(MONTH(A413),"00"))</f>
        <v/>
      </c>
      <c r="F413" s="2" t="str">
        <f aca="true">IF(A413="","",IF(A413&lt;=TODAY(),"Payée","Prévue"))</f>
        <v/>
      </c>
    </row>
    <row r="414" customFormat="false" ht="15" hidden="false" customHeight="false" outlineLevel="0" collapsed="false">
      <c r="A414" s="35"/>
      <c r="B414" s="34"/>
      <c r="C414" s="33"/>
      <c r="D414" s="33"/>
      <c r="E414" s="36" t="str">
        <f aca="false">IF(A414="","",YEAR(A414)&amp;"-"&amp;TEXT(MONTH(A414),"00"))</f>
        <v/>
      </c>
      <c r="F414" s="2" t="str">
        <f aca="true">IF(A414="","",IF(A414&lt;=TODAY(),"Payée","Prévue"))</f>
        <v/>
      </c>
    </row>
    <row r="415" customFormat="false" ht="15" hidden="false" customHeight="false" outlineLevel="0" collapsed="false">
      <c r="A415" s="35"/>
      <c r="B415" s="34"/>
      <c r="C415" s="33"/>
      <c r="D415" s="33"/>
      <c r="E415" s="36" t="str">
        <f aca="false">IF(A415="","",YEAR(A415)&amp;"-"&amp;TEXT(MONTH(A415),"00"))</f>
        <v/>
      </c>
      <c r="F415" s="2" t="str">
        <f aca="true">IF(A415="","",IF(A415&lt;=TODAY(),"Payée","Prévue"))</f>
        <v/>
      </c>
    </row>
    <row r="416" customFormat="false" ht="15" hidden="false" customHeight="false" outlineLevel="0" collapsed="false">
      <c r="A416" s="35"/>
      <c r="B416" s="34"/>
      <c r="C416" s="33"/>
      <c r="D416" s="33"/>
      <c r="E416" s="36" t="str">
        <f aca="false">IF(A416="","",YEAR(A416)&amp;"-"&amp;TEXT(MONTH(A416),"00"))</f>
        <v/>
      </c>
      <c r="F416" s="2" t="str">
        <f aca="true">IF(A416="","",IF(A416&lt;=TODAY(),"Payée","Prévue"))</f>
        <v/>
      </c>
    </row>
    <row r="417" customFormat="false" ht="15" hidden="false" customHeight="false" outlineLevel="0" collapsed="false">
      <c r="A417" s="35"/>
      <c r="B417" s="34"/>
      <c r="C417" s="33"/>
      <c r="D417" s="33"/>
      <c r="E417" s="36" t="str">
        <f aca="false">IF(A417="","",YEAR(A417)&amp;"-"&amp;TEXT(MONTH(A417),"00"))</f>
        <v/>
      </c>
      <c r="F417" s="2" t="str">
        <f aca="true">IF(A417="","",IF(A417&lt;=TODAY(),"Payée","Prévue"))</f>
        <v/>
      </c>
    </row>
    <row r="418" customFormat="false" ht="15" hidden="false" customHeight="false" outlineLevel="0" collapsed="false">
      <c r="A418" s="35"/>
      <c r="B418" s="34"/>
      <c r="C418" s="33"/>
      <c r="D418" s="33"/>
      <c r="E418" s="36" t="str">
        <f aca="false">IF(A418="","",YEAR(A418)&amp;"-"&amp;TEXT(MONTH(A418),"00"))</f>
        <v/>
      </c>
      <c r="F418" s="2" t="str">
        <f aca="true">IF(A418="","",IF(A418&lt;=TODAY(),"Payée","Prévue"))</f>
        <v/>
      </c>
    </row>
    <row r="419" customFormat="false" ht="15" hidden="false" customHeight="false" outlineLevel="0" collapsed="false">
      <c r="A419" s="35"/>
      <c r="B419" s="34"/>
      <c r="C419" s="33"/>
      <c r="D419" s="33"/>
      <c r="E419" s="36" t="str">
        <f aca="false">IF(A419="","",YEAR(A419)&amp;"-"&amp;TEXT(MONTH(A419),"00"))</f>
        <v/>
      </c>
      <c r="F419" s="2" t="str">
        <f aca="true">IF(A419="","",IF(A419&lt;=TODAY(),"Payée","Prévue"))</f>
        <v/>
      </c>
    </row>
    <row r="420" customFormat="false" ht="15" hidden="false" customHeight="false" outlineLevel="0" collapsed="false">
      <c r="A420" s="35"/>
      <c r="B420" s="34"/>
      <c r="C420" s="33"/>
      <c r="D420" s="33"/>
      <c r="E420" s="36" t="str">
        <f aca="false">IF(A420="","",YEAR(A420)&amp;"-"&amp;TEXT(MONTH(A420),"00"))</f>
        <v/>
      </c>
      <c r="F420" s="2" t="str">
        <f aca="true">IF(A420="","",IF(A420&lt;=TODAY(),"Payée","Prévue"))</f>
        <v/>
      </c>
    </row>
    <row r="421" customFormat="false" ht="15" hidden="false" customHeight="false" outlineLevel="0" collapsed="false">
      <c r="A421" s="35"/>
      <c r="B421" s="34"/>
      <c r="C421" s="33"/>
      <c r="D421" s="33"/>
      <c r="E421" s="36" t="str">
        <f aca="false">IF(A421="","",YEAR(A421)&amp;"-"&amp;TEXT(MONTH(A421),"00"))</f>
        <v/>
      </c>
      <c r="F421" s="2" t="str">
        <f aca="true">IF(A421="","",IF(A421&lt;=TODAY(),"Payée","Prévue"))</f>
        <v/>
      </c>
    </row>
    <row r="422" customFormat="false" ht="15" hidden="false" customHeight="false" outlineLevel="0" collapsed="false">
      <c r="A422" s="35"/>
      <c r="B422" s="34"/>
      <c r="C422" s="33"/>
      <c r="D422" s="33"/>
      <c r="E422" s="36" t="str">
        <f aca="false">IF(A422="","",YEAR(A422)&amp;"-"&amp;TEXT(MONTH(A422),"00"))</f>
        <v/>
      </c>
      <c r="F422" s="2" t="str">
        <f aca="true">IF(A422="","",IF(A422&lt;=TODAY(),"Payée","Prévue"))</f>
        <v/>
      </c>
    </row>
    <row r="423" customFormat="false" ht="15" hidden="false" customHeight="false" outlineLevel="0" collapsed="false">
      <c r="A423" s="35"/>
      <c r="B423" s="34"/>
      <c r="C423" s="33"/>
      <c r="D423" s="33"/>
      <c r="E423" s="36" t="str">
        <f aca="false">IF(A423="","",YEAR(A423)&amp;"-"&amp;TEXT(MONTH(A423),"00"))</f>
        <v/>
      </c>
      <c r="F423" s="2" t="str">
        <f aca="true">IF(A423="","",IF(A423&lt;=TODAY(),"Payée","Prévue"))</f>
        <v/>
      </c>
    </row>
    <row r="424" customFormat="false" ht="15" hidden="false" customHeight="false" outlineLevel="0" collapsed="false">
      <c r="A424" s="35"/>
      <c r="B424" s="34"/>
      <c r="C424" s="33"/>
      <c r="D424" s="33"/>
      <c r="E424" s="36" t="str">
        <f aca="false">IF(A424="","",YEAR(A424)&amp;"-"&amp;TEXT(MONTH(A424),"00"))</f>
        <v/>
      </c>
      <c r="F424" s="2" t="str">
        <f aca="true">IF(A424="","",IF(A424&lt;=TODAY(),"Payée","Prévue"))</f>
        <v/>
      </c>
    </row>
    <row r="425" customFormat="false" ht="15" hidden="false" customHeight="false" outlineLevel="0" collapsed="false">
      <c r="A425" s="35"/>
      <c r="B425" s="34"/>
      <c r="C425" s="33"/>
      <c r="D425" s="33"/>
      <c r="E425" s="36" t="str">
        <f aca="false">IF(A425="","",YEAR(A425)&amp;"-"&amp;TEXT(MONTH(A425),"00"))</f>
        <v/>
      </c>
      <c r="F425" s="2" t="str">
        <f aca="true">IF(A425="","",IF(A425&lt;=TODAY(),"Payée","Prévue"))</f>
        <v/>
      </c>
    </row>
    <row r="426" customFormat="false" ht="15" hidden="false" customHeight="false" outlineLevel="0" collapsed="false">
      <c r="A426" s="35"/>
      <c r="B426" s="34"/>
      <c r="C426" s="33"/>
      <c r="D426" s="33"/>
      <c r="E426" s="36" t="str">
        <f aca="false">IF(A426="","",YEAR(A426)&amp;"-"&amp;TEXT(MONTH(A426),"00"))</f>
        <v/>
      </c>
      <c r="F426" s="2" t="str">
        <f aca="true">IF(A426="","",IF(A426&lt;=TODAY(),"Payée","Prévue"))</f>
        <v/>
      </c>
    </row>
    <row r="427" customFormat="false" ht="15" hidden="false" customHeight="false" outlineLevel="0" collapsed="false">
      <c r="A427" s="35"/>
      <c r="B427" s="34"/>
      <c r="C427" s="33"/>
      <c r="D427" s="33"/>
      <c r="E427" s="36" t="str">
        <f aca="false">IF(A427="","",YEAR(A427)&amp;"-"&amp;TEXT(MONTH(A427),"00"))</f>
        <v/>
      </c>
      <c r="F427" s="2" t="str">
        <f aca="true">IF(A427="","",IF(A427&lt;=TODAY(),"Payée","Prévue"))</f>
        <v/>
      </c>
    </row>
    <row r="428" customFormat="false" ht="15" hidden="false" customHeight="false" outlineLevel="0" collapsed="false">
      <c r="A428" s="35"/>
      <c r="B428" s="34"/>
      <c r="C428" s="33"/>
      <c r="D428" s="33"/>
      <c r="E428" s="36" t="str">
        <f aca="false">IF(A428="","",YEAR(A428)&amp;"-"&amp;TEXT(MONTH(A428),"00"))</f>
        <v/>
      </c>
      <c r="F428" s="2" t="str">
        <f aca="true">IF(A428="","",IF(A428&lt;=TODAY(),"Payée","Prévue"))</f>
        <v/>
      </c>
    </row>
    <row r="429" customFormat="false" ht="15" hidden="false" customHeight="false" outlineLevel="0" collapsed="false">
      <c r="A429" s="35"/>
      <c r="B429" s="34"/>
      <c r="C429" s="33"/>
      <c r="D429" s="33"/>
      <c r="E429" s="36" t="str">
        <f aca="false">IF(A429="","",YEAR(A429)&amp;"-"&amp;TEXT(MONTH(A429),"00"))</f>
        <v/>
      </c>
      <c r="F429" s="2" t="str">
        <f aca="true">IF(A429="","",IF(A429&lt;=TODAY(),"Payée","Prévue"))</f>
        <v/>
      </c>
    </row>
    <row r="430" customFormat="false" ht="15" hidden="false" customHeight="false" outlineLevel="0" collapsed="false">
      <c r="A430" s="35"/>
      <c r="B430" s="34"/>
      <c r="C430" s="33"/>
      <c r="D430" s="33"/>
      <c r="E430" s="36" t="str">
        <f aca="false">IF(A430="","",YEAR(A430)&amp;"-"&amp;TEXT(MONTH(A430),"00"))</f>
        <v/>
      </c>
      <c r="F430" s="2" t="str">
        <f aca="true">IF(A430="","",IF(A430&lt;=TODAY(),"Payée","Prévue"))</f>
        <v/>
      </c>
    </row>
    <row r="431" customFormat="false" ht="15" hidden="false" customHeight="false" outlineLevel="0" collapsed="false">
      <c r="A431" s="35"/>
      <c r="B431" s="34"/>
      <c r="C431" s="33"/>
      <c r="D431" s="33"/>
      <c r="E431" s="36" t="str">
        <f aca="false">IF(A431="","",YEAR(A431)&amp;"-"&amp;TEXT(MONTH(A431),"00"))</f>
        <v/>
      </c>
      <c r="F431" s="2" t="str">
        <f aca="true">IF(A431="","",IF(A431&lt;=TODAY(),"Payée","Prévue"))</f>
        <v/>
      </c>
    </row>
    <row r="432" customFormat="false" ht="15" hidden="false" customHeight="false" outlineLevel="0" collapsed="false">
      <c r="A432" s="35"/>
      <c r="B432" s="34"/>
      <c r="C432" s="33"/>
      <c r="D432" s="33"/>
      <c r="E432" s="36" t="str">
        <f aca="false">IF(A432="","",YEAR(A432)&amp;"-"&amp;TEXT(MONTH(A432),"00"))</f>
        <v/>
      </c>
      <c r="F432" s="2" t="str">
        <f aca="true">IF(A432="","",IF(A432&lt;=TODAY(),"Payée","Prévue"))</f>
        <v/>
      </c>
    </row>
    <row r="433" customFormat="false" ht="15" hidden="false" customHeight="false" outlineLevel="0" collapsed="false">
      <c r="A433" s="35"/>
      <c r="B433" s="34"/>
      <c r="C433" s="33"/>
      <c r="D433" s="33"/>
      <c r="E433" s="36" t="str">
        <f aca="false">IF(A433="","",YEAR(A433)&amp;"-"&amp;TEXT(MONTH(A433),"00"))</f>
        <v/>
      </c>
      <c r="F433" s="2" t="str">
        <f aca="true">IF(A433="","",IF(A433&lt;=TODAY(),"Payée","Prévue"))</f>
        <v/>
      </c>
    </row>
    <row r="434" customFormat="false" ht="15" hidden="false" customHeight="false" outlineLevel="0" collapsed="false">
      <c r="A434" s="35"/>
      <c r="B434" s="34"/>
      <c r="C434" s="33"/>
      <c r="D434" s="33"/>
      <c r="E434" s="36" t="str">
        <f aca="false">IF(A434="","",YEAR(A434)&amp;"-"&amp;TEXT(MONTH(A434),"00"))</f>
        <v/>
      </c>
      <c r="F434" s="2" t="str">
        <f aca="true">IF(A434="","",IF(A434&lt;=TODAY(),"Payée","Prévue"))</f>
        <v/>
      </c>
    </row>
    <row r="435" customFormat="false" ht="15" hidden="false" customHeight="false" outlineLevel="0" collapsed="false">
      <c r="A435" s="35"/>
      <c r="B435" s="34"/>
      <c r="C435" s="33"/>
      <c r="D435" s="33"/>
      <c r="E435" s="36" t="str">
        <f aca="false">IF(A435="","",YEAR(A435)&amp;"-"&amp;TEXT(MONTH(A435),"00"))</f>
        <v/>
      </c>
      <c r="F435" s="2" t="str">
        <f aca="true">IF(A435="","",IF(A435&lt;=TODAY(),"Payée","Prévue"))</f>
        <v/>
      </c>
    </row>
    <row r="436" customFormat="false" ht="15" hidden="false" customHeight="false" outlineLevel="0" collapsed="false">
      <c r="A436" s="35"/>
      <c r="B436" s="34"/>
      <c r="C436" s="33"/>
      <c r="D436" s="33"/>
      <c r="E436" s="36" t="str">
        <f aca="false">IF(A436="","",YEAR(A436)&amp;"-"&amp;TEXT(MONTH(A436),"00"))</f>
        <v/>
      </c>
      <c r="F436" s="2" t="str">
        <f aca="true">IF(A436="","",IF(A436&lt;=TODAY(),"Payée","Prévue"))</f>
        <v/>
      </c>
    </row>
    <row r="437" customFormat="false" ht="15" hidden="false" customHeight="false" outlineLevel="0" collapsed="false">
      <c r="A437" s="35"/>
      <c r="B437" s="34"/>
      <c r="C437" s="33"/>
      <c r="D437" s="33"/>
      <c r="E437" s="36" t="str">
        <f aca="false">IF(A437="","",YEAR(A437)&amp;"-"&amp;TEXT(MONTH(A437),"00"))</f>
        <v/>
      </c>
      <c r="F437" s="2" t="str">
        <f aca="true">IF(A437="","",IF(A437&lt;=TODAY(),"Payée","Prévue"))</f>
        <v/>
      </c>
    </row>
    <row r="438" customFormat="false" ht="15" hidden="false" customHeight="false" outlineLevel="0" collapsed="false">
      <c r="A438" s="35"/>
      <c r="B438" s="34"/>
      <c r="C438" s="33"/>
      <c r="D438" s="33"/>
      <c r="E438" s="36" t="str">
        <f aca="false">IF(A438="","",YEAR(A438)&amp;"-"&amp;TEXT(MONTH(A438),"00"))</f>
        <v/>
      </c>
      <c r="F438" s="2" t="str">
        <f aca="true">IF(A438="","",IF(A438&lt;=TODAY(),"Payée","Prévue"))</f>
        <v/>
      </c>
    </row>
    <row r="439" customFormat="false" ht="15" hidden="false" customHeight="false" outlineLevel="0" collapsed="false">
      <c r="A439" s="35"/>
      <c r="B439" s="34"/>
      <c r="C439" s="33"/>
      <c r="D439" s="33"/>
      <c r="E439" s="36" t="str">
        <f aca="false">IF(A439="","",YEAR(A439)&amp;"-"&amp;TEXT(MONTH(A439),"00"))</f>
        <v/>
      </c>
      <c r="F439" s="2" t="str">
        <f aca="true">IF(A439="","",IF(A439&lt;=TODAY(),"Payée","Prévue"))</f>
        <v/>
      </c>
    </row>
    <row r="440" customFormat="false" ht="15" hidden="false" customHeight="false" outlineLevel="0" collapsed="false">
      <c r="A440" s="35"/>
      <c r="B440" s="34"/>
      <c r="C440" s="33"/>
      <c r="D440" s="33"/>
      <c r="E440" s="36" t="str">
        <f aca="false">IF(A440="","",YEAR(A440)&amp;"-"&amp;TEXT(MONTH(A440),"00"))</f>
        <v/>
      </c>
      <c r="F440" s="2" t="str">
        <f aca="true">IF(A440="","",IF(A440&lt;=TODAY(),"Payée","Prévue"))</f>
        <v/>
      </c>
    </row>
    <row r="441" customFormat="false" ht="15" hidden="false" customHeight="false" outlineLevel="0" collapsed="false">
      <c r="A441" s="35"/>
      <c r="B441" s="34"/>
      <c r="C441" s="33"/>
      <c r="D441" s="33"/>
      <c r="E441" s="36" t="str">
        <f aca="false">IF(A441="","",YEAR(A441)&amp;"-"&amp;TEXT(MONTH(A441),"00"))</f>
        <v/>
      </c>
      <c r="F441" s="2" t="str">
        <f aca="true">IF(A441="","",IF(A441&lt;=TODAY(),"Payée","Prévue"))</f>
        <v/>
      </c>
    </row>
    <row r="442" customFormat="false" ht="15" hidden="false" customHeight="false" outlineLevel="0" collapsed="false">
      <c r="A442" s="35"/>
      <c r="B442" s="34"/>
      <c r="C442" s="33"/>
      <c r="D442" s="33"/>
      <c r="E442" s="36" t="str">
        <f aca="false">IF(A442="","",YEAR(A442)&amp;"-"&amp;TEXT(MONTH(A442),"00"))</f>
        <v/>
      </c>
      <c r="F442" s="2" t="str">
        <f aca="true">IF(A442="","",IF(A442&lt;=TODAY(),"Payée","Prévue"))</f>
        <v/>
      </c>
    </row>
    <row r="443" customFormat="false" ht="15" hidden="false" customHeight="false" outlineLevel="0" collapsed="false">
      <c r="A443" s="35"/>
      <c r="B443" s="34"/>
      <c r="C443" s="33"/>
      <c r="D443" s="33"/>
      <c r="E443" s="36" t="str">
        <f aca="false">IF(A443="","",YEAR(A443)&amp;"-"&amp;TEXT(MONTH(A443),"00"))</f>
        <v/>
      </c>
      <c r="F443" s="2" t="str">
        <f aca="true">IF(A443="","",IF(A443&lt;=TODAY(),"Payée","Prévue"))</f>
        <v/>
      </c>
    </row>
    <row r="444" customFormat="false" ht="15" hidden="false" customHeight="false" outlineLevel="0" collapsed="false">
      <c r="A444" s="35"/>
      <c r="B444" s="34"/>
      <c r="C444" s="33"/>
      <c r="D444" s="33"/>
      <c r="E444" s="36" t="str">
        <f aca="false">IF(A444="","",YEAR(A444)&amp;"-"&amp;TEXT(MONTH(A444),"00"))</f>
        <v/>
      </c>
      <c r="F444" s="2" t="str">
        <f aca="true">IF(A444="","",IF(A444&lt;=TODAY(),"Payée","Prévue"))</f>
        <v/>
      </c>
    </row>
    <row r="445" customFormat="false" ht="15" hidden="false" customHeight="false" outlineLevel="0" collapsed="false">
      <c r="A445" s="35"/>
      <c r="B445" s="34"/>
      <c r="C445" s="33"/>
      <c r="D445" s="33"/>
      <c r="E445" s="36" t="str">
        <f aca="false">IF(A445="","",YEAR(A445)&amp;"-"&amp;TEXT(MONTH(A445),"00"))</f>
        <v/>
      </c>
      <c r="F445" s="2" t="str">
        <f aca="true">IF(A445="","",IF(A445&lt;=TODAY(),"Payée","Prévue"))</f>
        <v/>
      </c>
    </row>
    <row r="446" customFormat="false" ht="15" hidden="false" customHeight="false" outlineLevel="0" collapsed="false">
      <c r="A446" s="35"/>
      <c r="B446" s="34"/>
      <c r="C446" s="33"/>
      <c r="D446" s="33"/>
      <c r="E446" s="36" t="str">
        <f aca="false">IF(A446="","",YEAR(A446)&amp;"-"&amp;TEXT(MONTH(A446),"00"))</f>
        <v/>
      </c>
      <c r="F446" s="2" t="str">
        <f aca="true">IF(A446="","",IF(A446&lt;=TODAY(),"Payée","Prévue"))</f>
        <v/>
      </c>
    </row>
    <row r="447" customFormat="false" ht="15" hidden="false" customHeight="false" outlineLevel="0" collapsed="false">
      <c r="A447" s="35"/>
      <c r="B447" s="34"/>
      <c r="C447" s="33"/>
      <c r="D447" s="33"/>
      <c r="E447" s="36" t="str">
        <f aca="false">IF(A447="","",YEAR(A447)&amp;"-"&amp;TEXT(MONTH(A447),"00"))</f>
        <v/>
      </c>
      <c r="F447" s="2" t="str">
        <f aca="true">IF(A447="","",IF(A447&lt;=TODAY(),"Payée","Prévue"))</f>
        <v/>
      </c>
    </row>
    <row r="448" customFormat="false" ht="15" hidden="false" customHeight="false" outlineLevel="0" collapsed="false">
      <c r="A448" s="35"/>
      <c r="B448" s="34"/>
      <c r="C448" s="33"/>
      <c r="D448" s="33"/>
      <c r="E448" s="36" t="str">
        <f aca="false">IF(A448="","",YEAR(A448)&amp;"-"&amp;TEXT(MONTH(A448),"00"))</f>
        <v/>
      </c>
      <c r="F448" s="2" t="str">
        <f aca="true">IF(A448="","",IF(A448&lt;=TODAY(),"Payée","Prévue"))</f>
        <v/>
      </c>
    </row>
    <row r="449" customFormat="false" ht="15" hidden="false" customHeight="false" outlineLevel="0" collapsed="false">
      <c r="A449" s="35"/>
      <c r="B449" s="34"/>
      <c r="C449" s="33"/>
      <c r="D449" s="33"/>
      <c r="E449" s="36" t="str">
        <f aca="false">IF(A449="","",YEAR(A449)&amp;"-"&amp;TEXT(MONTH(A449),"00"))</f>
        <v/>
      </c>
      <c r="F449" s="2" t="str">
        <f aca="true">IF(A449="","",IF(A449&lt;=TODAY(),"Payée","Prévue"))</f>
        <v/>
      </c>
    </row>
    <row r="450" customFormat="false" ht="15" hidden="false" customHeight="false" outlineLevel="0" collapsed="false">
      <c r="A450" s="35"/>
      <c r="B450" s="34"/>
      <c r="C450" s="33"/>
      <c r="D450" s="33"/>
      <c r="E450" s="36" t="str">
        <f aca="false">IF(A450="","",YEAR(A450)&amp;"-"&amp;TEXT(MONTH(A450),"00"))</f>
        <v/>
      </c>
      <c r="F450" s="2" t="str">
        <f aca="true">IF(A450="","",IF(A450&lt;=TODAY(),"Payée","Prévue"))</f>
        <v/>
      </c>
    </row>
    <row r="451" customFormat="false" ht="15" hidden="false" customHeight="false" outlineLevel="0" collapsed="false">
      <c r="A451" s="35"/>
      <c r="B451" s="34"/>
      <c r="C451" s="33"/>
      <c r="D451" s="33"/>
      <c r="E451" s="36" t="str">
        <f aca="false">IF(A451="","",YEAR(A451)&amp;"-"&amp;TEXT(MONTH(A451),"00"))</f>
        <v/>
      </c>
      <c r="F451" s="2" t="str">
        <f aca="true">IF(A451="","",IF(A451&lt;=TODAY(),"Payée","Prévue"))</f>
        <v/>
      </c>
    </row>
    <row r="452" customFormat="false" ht="15" hidden="false" customHeight="false" outlineLevel="0" collapsed="false">
      <c r="A452" s="35"/>
      <c r="B452" s="34"/>
      <c r="C452" s="33"/>
      <c r="D452" s="33"/>
      <c r="E452" s="36" t="str">
        <f aca="false">IF(A452="","",YEAR(A452)&amp;"-"&amp;TEXT(MONTH(A452),"00"))</f>
        <v/>
      </c>
      <c r="F452" s="2" t="str">
        <f aca="true">IF(A452="","",IF(A452&lt;=TODAY(),"Payée","Prévue"))</f>
        <v/>
      </c>
    </row>
    <row r="453" customFormat="false" ht="15" hidden="false" customHeight="false" outlineLevel="0" collapsed="false">
      <c r="A453" s="35"/>
      <c r="B453" s="34"/>
      <c r="C453" s="33"/>
      <c r="D453" s="33"/>
      <c r="E453" s="36" t="str">
        <f aca="false">IF(A453="","",YEAR(A453)&amp;"-"&amp;TEXT(MONTH(A453),"00"))</f>
        <v/>
      </c>
      <c r="F453" s="2" t="str">
        <f aca="true">IF(A453="","",IF(A453&lt;=TODAY(),"Payée","Prévue"))</f>
        <v/>
      </c>
    </row>
    <row r="454" customFormat="false" ht="15" hidden="false" customHeight="false" outlineLevel="0" collapsed="false">
      <c r="A454" s="35"/>
      <c r="B454" s="34"/>
      <c r="C454" s="33"/>
      <c r="D454" s="33"/>
      <c r="E454" s="36" t="str">
        <f aca="false">IF(A454="","",YEAR(A454)&amp;"-"&amp;TEXT(MONTH(A454),"00"))</f>
        <v/>
      </c>
      <c r="F454" s="2" t="str">
        <f aca="true">IF(A454="","",IF(A454&lt;=TODAY(),"Payée","Prévue"))</f>
        <v/>
      </c>
    </row>
    <row r="455" customFormat="false" ht="15" hidden="false" customHeight="false" outlineLevel="0" collapsed="false">
      <c r="A455" s="35"/>
      <c r="B455" s="34"/>
      <c r="C455" s="33"/>
      <c r="D455" s="33"/>
      <c r="E455" s="36" t="str">
        <f aca="false">IF(A455="","",YEAR(A455)&amp;"-"&amp;TEXT(MONTH(A455),"00"))</f>
        <v/>
      </c>
      <c r="F455" s="2" t="str">
        <f aca="true">IF(A455="","",IF(A455&lt;=TODAY(),"Payée","Prévue"))</f>
        <v/>
      </c>
    </row>
    <row r="456" customFormat="false" ht="15" hidden="false" customHeight="false" outlineLevel="0" collapsed="false">
      <c r="A456" s="35"/>
      <c r="B456" s="34"/>
      <c r="C456" s="33"/>
      <c r="D456" s="33"/>
      <c r="E456" s="36" t="str">
        <f aca="false">IF(A456="","",YEAR(A456)&amp;"-"&amp;TEXT(MONTH(A456),"00"))</f>
        <v/>
      </c>
      <c r="F456" s="2" t="str">
        <f aca="true">IF(A456="","",IF(A456&lt;=TODAY(),"Payée","Prévue"))</f>
        <v/>
      </c>
    </row>
    <row r="457" customFormat="false" ht="15" hidden="false" customHeight="false" outlineLevel="0" collapsed="false">
      <c r="A457" s="35"/>
      <c r="B457" s="34"/>
      <c r="C457" s="33"/>
      <c r="D457" s="33"/>
      <c r="E457" s="36" t="str">
        <f aca="false">IF(A457="","",YEAR(A457)&amp;"-"&amp;TEXT(MONTH(A457),"00"))</f>
        <v/>
      </c>
      <c r="F457" s="2" t="str">
        <f aca="true">IF(A457="","",IF(A457&lt;=TODAY(),"Payée","Prévue"))</f>
        <v/>
      </c>
    </row>
    <row r="458" customFormat="false" ht="15" hidden="false" customHeight="false" outlineLevel="0" collapsed="false">
      <c r="A458" s="35"/>
      <c r="B458" s="34"/>
      <c r="C458" s="33"/>
      <c r="D458" s="33"/>
      <c r="E458" s="36" t="str">
        <f aca="false">IF(A458="","",YEAR(A458)&amp;"-"&amp;TEXT(MONTH(A458),"00"))</f>
        <v/>
      </c>
      <c r="F458" s="2" t="str">
        <f aca="true">IF(A458="","",IF(A458&lt;=TODAY(),"Payée","Prévue"))</f>
        <v/>
      </c>
    </row>
    <row r="459" customFormat="false" ht="15" hidden="false" customHeight="false" outlineLevel="0" collapsed="false">
      <c r="A459" s="35"/>
      <c r="B459" s="34"/>
      <c r="C459" s="33"/>
      <c r="D459" s="33"/>
      <c r="E459" s="36" t="str">
        <f aca="false">IF(A459="","",YEAR(A459)&amp;"-"&amp;TEXT(MONTH(A459),"00"))</f>
        <v/>
      </c>
      <c r="F459" s="2" t="str">
        <f aca="true">IF(A459="","",IF(A459&lt;=TODAY(),"Payée","Prévue"))</f>
        <v/>
      </c>
    </row>
    <row r="460" customFormat="false" ht="15" hidden="false" customHeight="false" outlineLevel="0" collapsed="false">
      <c r="A460" s="35"/>
      <c r="B460" s="34"/>
      <c r="C460" s="33"/>
      <c r="D460" s="33"/>
      <c r="E460" s="36" t="str">
        <f aca="false">IF(A460="","",YEAR(A460)&amp;"-"&amp;TEXT(MONTH(A460),"00"))</f>
        <v/>
      </c>
      <c r="F460" s="2" t="str">
        <f aca="true">IF(A460="","",IF(A460&lt;=TODAY(),"Payée","Prévue"))</f>
        <v/>
      </c>
    </row>
    <row r="461" customFormat="false" ht="15" hidden="false" customHeight="false" outlineLevel="0" collapsed="false">
      <c r="A461" s="35"/>
      <c r="B461" s="34"/>
      <c r="C461" s="33"/>
      <c r="D461" s="33"/>
      <c r="E461" s="36" t="str">
        <f aca="false">IF(A461="","",YEAR(A461)&amp;"-"&amp;TEXT(MONTH(A461),"00"))</f>
        <v/>
      </c>
      <c r="F461" s="2" t="str">
        <f aca="true">IF(A461="","",IF(A461&lt;=TODAY(),"Payée","Prévue"))</f>
        <v/>
      </c>
    </row>
    <row r="462" customFormat="false" ht="15" hidden="false" customHeight="false" outlineLevel="0" collapsed="false">
      <c r="A462" s="35"/>
      <c r="B462" s="34"/>
      <c r="C462" s="33"/>
      <c r="D462" s="33"/>
      <c r="E462" s="36" t="str">
        <f aca="false">IF(A462="","",YEAR(A462)&amp;"-"&amp;TEXT(MONTH(A462),"00"))</f>
        <v/>
      </c>
      <c r="F462" s="2" t="str">
        <f aca="true">IF(A462="","",IF(A462&lt;=TODAY(),"Payée","Prévue"))</f>
        <v/>
      </c>
    </row>
    <row r="463" customFormat="false" ht="15" hidden="false" customHeight="false" outlineLevel="0" collapsed="false">
      <c r="A463" s="35"/>
      <c r="B463" s="34"/>
      <c r="C463" s="33"/>
      <c r="D463" s="33"/>
      <c r="E463" s="36" t="str">
        <f aca="false">IF(A463="","",YEAR(A463)&amp;"-"&amp;TEXT(MONTH(A463),"00"))</f>
        <v/>
      </c>
      <c r="F463" s="2" t="str">
        <f aca="true">IF(A463="","",IF(A463&lt;=TODAY(),"Payée","Prévue"))</f>
        <v/>
      </c>
    </row>
    <row r="464" customFormat="false" ht="15" hidden="false" customHeight="false" outlineLevel="0" collapsed="false">
      <c r="A464" s="35"/>
      <c r="B464" s="34"/>
      <c r="C464" s="33"/>
      <c r="D464" s="33"/>
      <c r="E464" s="36" t="str">
        <f aca="false">IF(A464="","",YEAR(A464)&amp;"-"&amp;TEXT(MONTH(A464),"00"))</f>
        <v/>
      </c>
      <c r="F464" s="2" t="str">
        <f aca="true">IF(A464="","",IF(A464&lt;=TODAY(),"Payée","Prévue"))</f>
        <v/>
      </c>
    </row>
    <row r="465" customFormat="false" ht="15" hidden="false" customHeight="false" outlineLevel="0" collapsed="false">
      <c r="A465" s="35"/>
      <c r="B465" s="34"/>
      <c r="C465" s="33"/>
      <c r="D465" s="33"/>
      <c r="E465" s="36" t="str">
        <f aca="false">IF(A465="","",YEAR(A465)&amp;"-"&amp;TEXT(MONTH(A465),"00"))</f>
        <v/>
      </c>
      <c r="F465" s="2" t="str">
        <f aca="true">IF(A465="","",IF(A465&lt;=TODAY(),"Payée","Prévue"))</f>
        <v/>
      </c>
    </row>
    <row r="466" customFormat="false" ht="15" hidden="false" customHeight="false" outlineLevel="0" collapsed="false">
      <c r="A466" s="35"/>
      <c r="B466" s="34"/>
      <c r="C466" s="33"/>
      <c r="D466" s="33"/>
      <c r="E466" s="36" t="str">
        <f aca="false">IF(A466="","",YEAR(A466)&amp;"-"&amp;TEXT(MONTH(A466),"00"))</f>
        <v/>
      </c>
      <c r="F466" s="2" t="str">
        <f aca="true">IF(A466="","",IF(A466&lt;=TODAY(),"Payée","Prévue"))</f>
        <v/>
      </c>
    </row>
    <row r="467" customFormat="false" ht="15" hidden="false" customHeight="false" outlineLevel="0" collapsed="false">
      <c r="A467" s="35"/>
      <c r="B467" s="34"/>
      <c r="C467" s="33"/>
      <c r="D467" s="33"/>
      <c r="E467" s="36" t="str">
        <f aca="false">IF(A467="","",YEAR(A467)&amp;"-"&amp;TEXT(MONTH(A467),"00"))</f>
        <v/>
      </c>
      <c r="F467" s="2" t="str">
        <f aca="true">IF(A467="","",IF(A467&lt;=TODAY(),"Payée","Prévue"))</f>
        <v/>
      </c>
    </row>
    <row r="468" customFormat="false" ht="15" hidden="false" customHeight="false" outlineLevel="0" collapsed="false">
      <c r="A468" s="35"/>
      <c r="B468" s="34"/>
      <c r="C468" s="33"/>
      <c r="D468" s="33"/>
      <c r="E468" s="36" t="str">
        <f aca="false">IF(A468="","",YEAR(A468)&amp;"-"&amp;TEXT(MONTH(A468),"00"))</f>
        <v/>
      </c>
      <c r="F468" s="2" t="str">
        <f aca="true">IF(A468="","",IF(A468&lt;=TODAY(),"Payée","Prévue"))</f>
        <v/>
      </c>
    </row>
    <row r="469" customFormat="false" ht="15" hidden="false" customHeight="false" outlineLevel="0" collapsed="false">
      <c r="A469" s="35"/>
      <c r="B469" s="34"/>
      <c r="C469" s="33"/>
      <c r="D469" s="33"/>
      <c r="E469" s="36" t="str">
        <f aca="false">IF(A469="","",YEAR(A469)&amp;"-"&amp;TEXT(MONTH(A469),"00"))</f>
        <v/>
      </c>
      <c r="F469" s="2" t="str">
        <f aca="true">IF(A469="","",IF(A469&lt;=TODAY(),"Payée","Prévue"))</f>
        <v/>
      </c>
    </row>
    <row r="470" customFormat="false" ht="15" hidden="false" customHeight="false" outlineLevel="0" collapsed="false">
      <c r="A470" s="35"/>
      <c r="B470" s="34"/>
      <c r="C470" s="33"/>
      <c r="D470" s="33"/>
      <c r="E470" s="36" t="str">
        <f aca="false">IF(A470="","",YEAR(A470)&amp;"-"&amp;TEXT(MONTH(A470),"00"))</f>
        <v/>
      </c>
      <c r="F470" s="2" t="str">
        <f aca="true">IF(A470="","",IF(A470&lt;=TODAY(),"Payée","Prévue"))</f>
        <v/>
      </c>
    </row>
    <row r="471" customFormat="false" ht="15" hidden="false" customHeight="false" outlineLevel="0" collapsed="false">
      <c r="A471" s="35"/>
      <c r="B471" s="34"/>
      <c r="C471" s="33"/>
      <c r="D471" s="33"/>
      <c r="E471" s="36" t="str">
        <f aca="false">IF(A471="","",YEAR(A471)&amp;"-"&amp;TEXT(MONTH(A471),"00"))</f>
        <v/>
      </c>
      <c r="F471" s="2" t="str">
        <f aca="true">IF(A471="","",IF(A471&lt;=TODAY(),"Payée","Prévue"))</f>
        <v/>
      </c>
    </row>
    <row r="472" customFormat="false" ht="15" hidden="false" customHeight="false" outlineLevel="0" collapsed="false">
      <c r="A472" s="35"/>
      <c r="B472" s="34"/>
      <c r="C472" s="33"/>
      <c r="D472" s="33"/>
      <c r="E472" s="36" t="str">
        <f aca="false">IF(A472="","",YEAR(A472)&amp;"-"&amp;TEXT(MONTH(A472),"00"))</f>
        <v/>
      </c>
      <c r="F472" s="2" t="str">
        <f aca="true">IF(A472="","",IF(A472&lt;=TODAY(),"Payée","Prévue"))</f>
        <v/>
      </c>
    </row>
    <row r="473" customFormat="false" ht="15" hidden="false" customHeight="false" outlineLevel="0" collapsed="false">
      <c r="A473" s="35"/>
      <c r="B473" s="34"/>
      <c r="C473" s="33"/>
      <c r="D473" s="33"/>
      <c r="E473" s="36" t="str">
        <f aca="false">IF(A473="","",YEAR(A473)&amp;"-"&amp;TEXT(MONTH(A473),"00"))</f>
        <v/>
      </c>
      <c r="F473" s="2" t="str">
        <f aca="true">IF(A473="","",IF(A473&lt;=TODAY(),"Payée","Prévue"))</f>
        <v/>
      </c>
    </row>
    <row r="474" customFormat="false" ht="15" hidden="false" customHeight="false" outlineLevel="0" collapsed="false">
      <c r="A474" s="35"/>
      <c r="B474" s="34"/>
      <c r="C474" s="33"/>
      <c r="D474" s="33"/>
      <c r="E474" s="36" t="str">
        <f aca="false">IF(A474="","",YEAR(A474)&amp;"-"&amp;TEXT(MONTH(A474),"00"))</f>
        <v/>
      </c>
      <c r="F474" s="2" t="str">
        <f aca="true">IF(A474="","",IF(A474&lt;=TODAY(),"Payée","Prévue"))</f>
        <v/>
      </c>
    </row>
    <row r="475" customFormat="false" ht="15" hidden="false" customHeight="false" outlineLevel="0" collapsed="false">
      <c r="A475" s="35"/>
      <c r="B475" s="34"/>
      <c r="C475" s="33"/>
      <c r="D475" s="33"/>
      <c r="E475" s="36" t="str">
        <f aca="false">IF(A475="","",YEAR(A475)&amp;"-"&amp;TEXT(MONTH(A475),"00"))</f>
        <v/>
      </c>
      <c r="F475" s="2" t="str">
        <f aca="true">IF(A475="","",IF(A475&lt;=TODAY(),"Payée","Prévue"))</f>
        <v/>
      </c>
    </row>
    <row r="476" customFormat="false" ht="15" hidden="false" customHeight="false" outlineLevel="0" collapsed="false">
      <c r="A476" s="35"/>
      <c r="B476" s="34"/>
      <c r="C476" s="33"/>
      <c r="D476" s="33"/>
      <c r="E476" s="36" t="str">
        <f aca="false">IF(A476="","",YEAR(A476)&amp;"-"&amp;TEXT(MONTH(A476),"00"))</f>
        <v/>
      </c>
      <c r="F476" s="2" t="str">
        <f aca="true">IF(A476="","",IF(A476&lt;=TODAY(),"Payée","Prévue"))</f>
        <v/>
      </c>
    </row>
    <row r="477" customFormat="false" ht="15" hidden="false" customHeight="false" outlineLevel="0" collapsed="false">
      <c r="A477" s="35"/>
      <c r="B477" s="34"/>
      <c r="C477" s="33"/>
      <c r="D477" s="33"/>
      <c r="E477" s="36" t="str">
        <f aca="false">IF(A477="","",YEAR(A477)&amp;"-"&amp;TEXT(MONTH(A477),"00"))</f>
        <v/>
      </c>
      <c r="F477" s="2" t="str">
        <f aca="true">IF(A477="","",IF(A477&lt;=TODAY(),"Payée","Prévue"))</f>
        <v/>
      </c>
    </row>
    <row r="478" customFormat="false" ht="15" hidden="false" customHeight="false" outlineLevel="0" collapsed="false">
      <c r="A478" s="35"/>
      <c r="B478" s="34"/>
      <c r="C478" s="33"/>
      <c r="D478" s="33"/>
      <c r="E478" s="36" t="str">
        <f aca="false">IF(A478="","",YEAR(A478)&amp;"-"&amp;TEXT(MONTH(A478),"00"))</f>
        <v/>
      </c>
      <c r="F478" s="2" t="str">
        <f aca="true">IF(A478="","",IF(A478&lt;=TODAY(),"Payée","Prévue"))</f>
        <v/>
      </c>
    </row>
    <row r="479" customFormat="false" ht="15" hidden="false" customHeight="false" outlineLevel="0" collapsed="false">
      <c r="A479" s="35"/>
      <c r="B479" s="34"/>
      <c r="C479" s="33"/>
      <c r="D479" s="33"/>
      <c r="E479" s="36" t="str">
        <f aca="false">IF(A479="","",YEAR(A479)&amp;"-"&amp;TEXT(MONTH(A479),"00"))</f>
        <v/>
      </c>
      <c r="F479" s="2" t="str">
        <f aca="true">IF(A479="","",IF(A479&lt;=TODAY(),"Payée","Prévue"))</f>
        <v/>
      </c>
    </row>
    <row r="480" customFormat="false" ht="15" hidden="false" customHeight="false" outlineLevel="0" collapsed="false">
      <c r="A480" s="35"/>
      <c r="B480" s="34"/>
      <c r="C480" s="33"/>
      <c r="D480" s="33"/>
      <c r="E480" s="36" t="str">
        <f aca="false">IF(A480="","",YEAR(A480)&amp;"-"&amp;TEXT(MONTH(A480),"00"))</f>
        <v/>
      </c>
      <c r="F480" s="2" t="str">
        <f aca="true">IF(A480="","",IF(A480&lt;=TODAY(),"Payée","Prévue"))</f>
        <v/>
      </c>
    </row>
    <row r="481" customFormat="false" ht="15" hidden="false" customHeight="false" outlineLevel="0" collapsed="false">
      <c r="A481" s="35"/>
      <c r="B481" s="34"/>
      <c r="C481" s="33"/>
      <c r="D481" s="33"/>
      <c r="E481" s="36" t="str">
        <f aca="false">IF(A481="","",YEAR(A481)&amp;"-"&amp;TEXT(MONTH(A481),"00"))</f>
        <v/>
      </c>
      <c r="F481" s="2" t="str">
        <f aca="true">IF(A481="","",IF(A481&lt;=TODAY(),"Payée","Prévue"))</f>
        <v/>
      </c>
    </row>
    <row r="482" customFormat="false" ht="15" hidden="false" customHeight="false" outlineLevel="0" collapsed="false">
      <c r="A482" s="35"/>
      <c r="B482" s="34"/>
      <c r="C482" s="33"/>
      <c r="D482" s="33"/>
      <c r="E482" s="36" t="str">
        <f aca="false">IF(A482="","",YEAR(A482)&amp;"-"&amp;TEXT(MONTH(A482),"00"))</f>
        <v/>
      </c>
      <c r="F482" s="2" t="str">
        <f aca="true">IF(A482="","",IF(A482&lt;=TODAY(),"Payée","Prévue"))</f>
        <v/>
      </c>
    </row>
    <row r="483" customFormat="false" ht="15" hidden="false" customHeight="false" outlineLevel="0" collapsed="false">
      <c r="A483" s="35"/>
      <c r="B483" s="34"/>
      <c r="C483" s="33"/>
      <c r="D483" s="33"/>
      <c r="E483" s="36" t="str">
        <f aca="false">IF(A483="","",YEAR(A483)&amp;"-"&amp;TEXT(MONTH(A483),"00"))</f>
        <v/>
      </c>
      <c r="F483" s="2" t="str">
        <f aca="true">IF(A483="","",IF(A483&lt;=TODAY(),"Payée","Prévue"))</f>
        <v/>
      </c>
    </row>
    <row r="484" customFormat="false" ht="15" hidden="false" customHeight="false" outlineLevel="0" collapsed="false">
      <c r="A484" s="35"/>
      <c r="B484" s="34"/>
      <c r="C484" s="33"/>
      <c r="D484" s="33"/>
      <c r="E484" s="36" t="str">
        <f aca="false">IF(A484="","",YEAR(A484)&amp;"-"&amp;TEXT(MONTH(A484),"00"))</f>
        <v/>
      </c>
      <c r="F484" s="2" t="str">
        <f aca="true">IF(A484="","",IF(A484&lt;=TODAY(),"Payée","Prévue"))</f>
        <v/>
      </c>
    </row>
    <row r="485" customFormat="false" ht="15" hidden="false" customHeight="false" outlineLevel="0" collapsed="false">
      <c r="A485" s="35"/>
      <c r="B485" s="34"/>
      <c r="C485" s="33"/>
      <c r="D485" s="33"/>
      <c r="E485" s="36" t="str">
        <f aca="false">IF(A485="","",YEAR(A485)&amp;"-"&amp;TEXT(MONTH(A485),"00"))</f>
        <v/>
      </c>
      <c r="F485" s="2" t="str">
        <f aca="true">IF(A485="","",IF(A485&lt;=TODAY(),"Payée","Prévue"))</f>
        <v/>
      </c>
    </row>
    <row r="486" customFormat="false" ht="15" hidden="false" customHeight="false" outlineLevel="0" collapsed="false">
      <c r="A486" s="35"/>
      <c r="B486" s="34"/>
      <c r="C486" s="33"/>
      <c r="D486" s="33"/>
      <c r="E486" s="36" t="str">
        <f aca="false">IF(A486="","",YEAR(A486)&amp;"-"&amp;TEXT(MONTH(A486),"00"))</f>
        <v/>
      </c>
      <c r="F486" s="2" t="str">
        <f aca="true">IF(A486="","",IF(A486&lt;=TODAY(),"Payée","Prévue"))</f>
        <v/>
      </c>
    </row>
    <row r="487" customFormat="false" ht="15" hidden="false" customHeight="false" outlineLevel="0" collapsed="false">
      <c r="A487" s="35"/>
      <c r="B487" s="34"/>
      <c r="C487" s="33"/>
      <c r="D487" s="33"/>
      <c r="E487" s="36" t="str">
        <f aca="false">IF(A487="","",YEAR(A487)&amp;"-"&amp;TEXT(MONTH(A487),"00"))</f>
        <v/>
      </c>
      <c r="F487" s="2" t="str">
        <f aca="true">IF(A487="","",IF(A487&lt;=TODAY(),"Payée","Prévue"))</f>
        <v/>
      </c>
    </row>
    <row r="488" customFormat="false" ht="15" hidden="false" customHeight="false" outlineLevel="0" collapsed="false">
      <c r="A488" s="35"/>
      <c r="B488" s="34"/>
      <c r="C488" s="33"/>
      <c r="D488" s="33"/>
      <c r="E488" s="36" t="str">
        <f aca="false">IF(A488="","",YEAR(A488)&amp;"-"&amp;TEXT(MONTH(A488),"00"))</f>
        <v/>
      </c>
      <c r="F488" s="2" t="str">
        <f aca="true">IF(A488="","",IF(A488&lt;=TODAY(),"Payée","Prévue"))</f>
        <v/>
      </c>
    </row>
    <row r="489" customFormat="false" ht="15" hidden="false" customHeight="false" outlineLevel="0" collapsed="false">
      <c r="A489" s="35"/>
      <c r="B489" s="34"/>
      <c r="C489" s="33"/>
      <c r="D489" s="33"/>
      <c r="E489" s="36" t="str">
        <f aca="false">IF(A489="","",YEAR(A489)&amp;"-"&amp;TEXT(MONTH(A489),"00"))</f>
        <v/>
      </c>
      <c r="F489" s="2" t="str">
        <f aca="true">IF(A489="","",IF(A489&lt;=TODAY(),"Payée","Prévue"))</f>
        <v/>
      </c>
    </row>
    <row r="490" customFormat="false" ht="15" hidden="false" customHeight="false" outlineLevel="0" collapsed="false">
      <c r="A490" s="35"/>
      <c r="B490" s="34"/>
      <c r="C490" s="33"/>
      <c r="D490" s="33"/>
      <c r="E490" s="36" t="str">
        <f aca="false">IF(A490="","",YEAR(A490)&amp;"-"&amp;TEXT(MONTH(A490),"00"))</f>
        <v/>
      </c>
      <c r="F490" s="2" t="str">
        <f aca="true">IF(A490="","",IF(A490&lt;=TODAY(),"Payée","Prévue"))</f>
        <v/>
      </c>
    </row>
    <row r="491" customFormat="false" ht="15" hidden="false" customHeight="false" outlineLevel="0" collapsed="false">
      <c r="A491" s="35"/>
      <c r="B491" s="34"/>
      <c r="C491" s="33"/>
      <c r="D491" s="33"/>
      <c r="E491" s="36" t="str">
        <f aca="false">IF(A491="","",YEAR(A491)&amp;"-"&amp;TEXT(MONTH(A491),"00"))</f>
        <v/>
      </c>
      <c r="F491" s="2" t="str">
        <f aca="true">IF(A491="","",IF(A491&lt;=TODAY(),"Payée","Prévue"))</f>
        <v/>
      </c>
    </row>
    <row r="492" customFormat="false" ht="15" hidden="false" customHeight="false" outlineLevel="0" collapsed="false">
      <c r="A492" s="35"/>
      <c r="B492" s="34"/>
      <c r="C492" s="33"/>
      <c r="D492" s="33"/>
      <c r="E492" s="36" t="str">
        <f aca="false">IF(A492="","",YEAR(A492)&amp;"-"&amp;TEXT(MONTH(A492),"00"))</f>
        <v/>
      </c>
      <c r="F492" s="2" t="str">
        <f aca="true">IF(A492="","",IF(A492&lt;=TODAY(),"Payée","Prévue"))</f>
        <v/>
      </c>
    </row>
    <row r="493" customFormat="false" ht="15" hidden="false" customHeight="false" outlineLevel="0" collapsed="false">
      <c r="A493" s="35"/>
      <c r="B493" s="34"/>
      <c r="C493" s="33"/>
      <c r="D493" s="33"/>
      <c r="E493" s="36" t="str">
        <f aca="false">IF(A493="","",YEAR(A493)&amp;"-"&amp;TEXT(MONTH(A493),"00"))</f>
        <v/>
      </c>
      <c r="F493" s="2" t="str">
        <f aca="true">IF(A493="","",IF(A493&lt;=TODAY(),"Payée","Prévue"))</f>
        <v/>
      </c>
    </row>
    <row r="494" customFormat="false" ht="15" hidden="false" customHeight="false" outlineLevel="0" collapsed="false">
      <c r="A494" s="35"/>
      <c r="B494" s="34"/>
      <c r="C494" s="33"/>
      <c r="D494" s="33"/>
      <c r="E494" s="36" t="str">
        <f aca="false">IF(A494="","",YEAR(A494)&amp;"-"&amp;TEXT(MONTH(A494),"00"))</f>
        <v/>
      </c>
      <c r="F494" s="2" t="str">
        <f aca="true">IF(A494="","",IF(A494&lt;=TODAY(),"Payée","Prévue"))</f>
        <v/>
      </c>
    </row>
    <row r="495" customFormat="false" ht="15" hidden="false" customHeight="false" outlineLevel="0" collapsed="false">
      <c r="A495" s="35"/>
      <c r="B495" s="34"/>
      <c r="C495" s="33"/>
      <c r="D495" s="33"/>
      <c r="E495" s="36" t="str">
        <f aca="false">IF(A495="","",YEAR(A495)&amp;"-"&amp;TEXT(MONTH(A495),"00"))</f>
        <v/>
      </c>
      <c r="F495" s="2" t="str">
        <f aca="true">IF(A495="","",IF(A495&lt;=TODAY(),"Payée","Prévue"))</f>
        <v/>
      </c>
    </row>
    <row r="496" customFormat="false" ht="15" hidden="false" customHeight="false" outlineLevel="0" collapsed="false">
      <c r="A496" s="35"/>
      <c r="B496" s="34"/>
      <c r="C496" s="33"/>
      <c r="D496" s="33"/>
      <c r="E496" s="36" t="str">
        <f aca="false">IF(A496="","",YEAR(A496)&amp;"-"&amp;TEXT(MONTH(A496),"00"))</f>
        <v/>
      </c>
      <c r="F496" s="2" t="str">
        <f aca="true">IF(A496="","",IF(A496&lt;=TODAY(),"Payée","Prévue"))</f>
        <v/>
      </c>
    </row>
    <row r="497" customFormat="false" ht="15" hidden="false" customHeight="false" outlineLevel="0" collapsed="false">
      <c r="A497" s="35"/>
      <c r="B497" s="34"/>
      <c r="C497" s="33"/>
      <c r="D497" s="33"/>
      <c r="E497" s="36" t="str">
        <f aca="false">IF(A497="","",YEAR(A497)&amp;"-"&amp;TEXT(MONTH(A497),"00"))</f>
        <v/>
      </c>
      <c r="F497" s="2" t="str">
        <f aca="true">IF(A497="","",IF(A497&lt;=TODAY(),"Payée","Prévue"))</f>
        <v/>
      </c>
    </row>
    <row r="498" customFormat="false" ht="15" hidden="false" customHeight="false" outlineLevel="0" collapsed="false">
      <c r="A498" s="35"/>
      <c r="B498" s="34"/>
      <c r="C498" s="33"/>
      <c r="D498" s="33"/>
      <c r="E498" s="36" t="str">
        <f aca="false">IF(A498="","",YEAR(A498)&amp;"-"&amp;TEXT(MONTH(A498),"00"))</f>
        <v/>
      </c>
      <c r="F498" s="2" t="str">
        <f aca="true">IF(A498="","",IF(A498&lt;=TODAY(),"Payée","Prévue"))</f>
        <v/>
      </c>
    </row>
    <row r="499" customFormat="false" ht="15" hidden="false" customHeight="false" outlineLevel="0" collapsed="false">
      <c r="A499" s="35"/>
      <c r="B499" s="34"/>
      <c r="C499" s="33"/>
      <c r="D499" s="33"/>
      <c r="E499" s="36" t="str">
        <f aca="false">IF(A499="","",YEAR(A499)&amp;"-"&amp;TEXT(MONTH(A499),"00"))</f>
        <v/>
      </c>
      <c r="F499" s="2" t="str">
        <f aca="true">IF(A499="","",IF(A499&lt;=TODAY(),"Payée","Prévue"))</f>
        <v/>
      </c>
    </row>
    <row r="500" customFormat="false" ht="15" hidden="false" customHeight="false" outlineLevel="0" collapsed="false">
      <c r="A500" s="35"/>
      <c r="B500" s="34"/>
      <c r="C500" s="33"/>
      <c r="D500" s="33"/>
      <c r="E500" s="36" t="str">
        <f aca="false">IF(A500="","",YEAR(A500)&amp;"-"&amp;TEXT(MONTH(A500),"00"))</f>
        <v/>
      </c>
      <c r="F500" s="2" t="str">
        <f aca="true">IF(A500="","",IF(A500&lt;=TODAY(),"Payée","Prévue"))</f>
        <v/>
      </c>
    </row>
    <row r="501" customFormat="false" ht="15" hidden="false" customHeight="false" outlineLevel="0" collapsed="false">
      <c r="A501" s="35"/>
      <c r="B501" s="34"/>
      <c r="C501" s="33"/>
      <c r="D501" s="33"/>
      <c r="E501" s="36" t="str">
        <f aca="false">IF(A501="","",YEAR(A501)&amp;"-"&amp;TEXT(MONTH(A501),"00"))</f>
        <v/>
      </c>
      <c r="F501" s="2" t="str">
        <f aca="true">IF(A501="","",IF(A501&lt;=TODAY(),"Payée","Prévue"))</f>
        <v/>
      </c>
    </row>
    <row r="502" customFormat="false" ht="15" hidden="false" customHeight="false" outlineLevel="0" collapsed="false">
      <c r="A502" s="35"/>
      <c r="B502" s="34"/>
      <c r="C502" s="33"/>
      <c r="D502" s="33"/>
      <c r="E502" s="36" t="str">
        <f aca="false">IF(A502="","",YEAR(A502)&amp;"-"&amp;TEXT(MONTH(A502),"00"))</f>
        <v/>
      </c>
      <c r="F502" s="2" t="str">
        <f aca="true">IF(A502="","",IF(A502&lt;=TODAY(),"Payée","Prévue"))</f>
        <v/>
      </c>
    </row>
    <row r="503" customFormat="false" ht="15" hidden="false" customHeight="false" outlineLevel="0" collapsed="false">
      <c r="A503" s="35"/>
      <c r="B503" s="34"/>
      <c r="C503" s="33"/>
      <c r="D503" s="33"/>
      <c r="E503" s="36" t="str">
        <f aca="false">IF(A503="","",YEAR(A503)&amp;"-"&amp;TEXT(MONTH(A503),"00"))</f>
        <v/>
      </c>
      <c r="F503" s="2" t="str">
        <f aca="true">IF(A503="","",IF(A503&lt;=TODAY(),"Payée","Prévue"))</f>
        <v/>
      </c>
    </row>
    <row r="504" customFormat="false" ht="15" hidden="false" customHeight="false" outlineLevel="0" collapsed="false">
      <c r="A504" s="35"/>
      <c r="B504" s="34"/>
      <c r="C504" s="33"/>
      <c r="D504" s="33"/>
      <c r="E504" s="36" t="str">
        <f aca="false">IF(A504="","",YEAR(A504)&amp;"-"&amp;TEXT(MONTH(A504),"00"))</f>
        <v/>
      </c>
      <c r="F504" s="2" t="str">
        <f aca="true">IF(A504="","",IF(A504&lt;=TODAY(),"Payée","Prévue"))</f>
        <v/>
      </c>
    </row>
  </sheetData>
  <conditionalFormatting sqref="A5:F504">
    <cfRule type="expression" priority="2" aboveAverage="0" equalAverage="0" bottom="0" percent="0" rank="0" text="" dxfId="2">
      <formula>$F5="Prévue"</formula>
    </cfRule>
  </conditionalFormatting>
  <dataValidations count="3">
    <dataValidation allowBlank="true" error="Choisis une catégorie de la liste (onglet Paramètres)." errorStyle="stop" errorTitle="Catégorie" operator="between" showDropDown="false" showErrorMessage="true" showInputMessage="false" sqref="C5:C504" type="list">
      <formula1>Paramètres!$A$22:$A$37</formula1>
      <formula2>0</formula2>
    </dataValidation>
    <dataValidation allowBlank="true" error="Date invalide." errorStyle="stop" operator="between" showDropDown="false" showErrorMessage="true" showInputMessage="false" sqref="A5:A504" type="date">
      <formula1>DATE(2000,1,1)</formula1>
      <formula2>DATE(2100,12,31)</formula2>
    </dataValidation>
    <dataValidation allowBlank="true" error="Montant entre 0,01 € et 100 000 €." errorStyle="stop" operator="between" showDropDown="false" showErrorMessage="true" showInputMessage="false" sqref="B5:B504" type="decimal">
      <formula1>0.01</formula1>
      <formula2>100000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9"/>
  </cols>
  <sheetData>
    <row r="1" customFormat="false" ht="27.75" hidden="false" customHeight="true" outlineLevel="0" collapsed="false">
      <c r="A1" s="25" t="s">
        <v>74</v>
      </c>
      <c r="B1" s="2"/>
      <c r="C1" s="2"/>
      <c r="D1" s="2"/>
      <c r="E1" s="2"/>
    </row>
    <row r="2" customFormat="false" ht="15" hidden="false" customHeight="false" outlineLevel="0" collapsed="false">
      <c r="A2" s="3" t="s">
        <v>75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30" hidden="false" customHeight="true" outlineLevel="0" collapsed="false">
      <c r="A4" s="10" t="s">
        <v>67</v>
      </c>
      <c r="B4" s="10" t="s">
        <v>76</v>
      </c>
      <c r="C4" s="10" t="s">
        <v>7</v>
      </c>
      <c r="D4" s="10" t="s">
        <v>77</v>
      </c>
      <c r="E4" s="10" t="s">
        <v>78</v>
      </c>
    </row>
    <row r="5" customFormat="false" ht="15" hidden="false" customHeight="false" outlineLevel="0" collapsed="false">
      <c r="A5" s="37" t="s">
        <v>79</v>
      </c>
      <c r="B5" s="33" t="s">
        <v>80</v>
      </c>
      <c r="C5" s="34" t="n">
        <v>450</v>
      </c>
      <c r="D5" s="38" t="n">
        <v>5</v>
      </c>
      <c r="E5" s="33" t="s">
        <v>81</v>
      </c>
    </row>
    <row r="6" customFormat="false" ht="15" hidden="false" customHeight="false" outlineLevel="0" collapsed="false">
      <c r="A6" s="37" t="s">
        <v>79</v>
      </c>
      <c r="B6" s="33" t="s">
        <v>82</v>
      </c>
      <c r="C6" s="34" t="n">
        <v>20</v>
      </c>
      <c r="D6" s="38" t="n">
        <v>25</v>
      </c>
      <c r="E6" s="33" t="s">
        <v>81</v>
      </c>
    </row>
    <row r="7" customFormat="false" ht="15" hidden="false" customHeight="false" outlineLevel="0" collapsed="false">
      <c r="A7" s="37" t="s">
        <v>3</v>
      </c>
      <c r="B7" s="33" t="s">
        <v>80</v>
      </c>
      <c r="C7" s="34" t="n">
        <v>450</v>
      </c>
      <c r="D7" s="38" t="n">
        <v>5</v>
      </c>
      <c r="E7" s="33" t="s">
        <v>81</v>
      </c>
    </row>
    <row r="8" customFormat="false" ht="15" hidden="false" customHeight="false" outlineLevel="0" collapsed="false">
      <c r="A8" s="37" t="s">
        <v>3</v>
      </c>
      <c r="B8" s="33" t="s">
        <v>82</v>
      </c>
      <c r="C8" s="34" t="n">
        <v>20</v>
      </c>
      <c r="D8" s="38" t="n">
        <v>25</v>
      </c>
      <c r="E8" s="33" t="s">
        <v>83</v>
      </c>
    </row>
    <row r="9" customFormat="false" ht="15" hidden="false" customHeight="false" outlineLevel="0" collapsed="false">
      <c r="A9" s="37" t="s">
        <v>33</v>
      </c>
      <c r="B9" s="33" t="s">
        <v>80</v>
      </c>
      <c r="C9" s="34" t="n">
        <v>450</v>
      </c>
      <c r="D9" s="38" t="n">
        <v>5</v>
      </c>
      <c r="E9" s="33" t="s">
        <v>83</v>
      </c>
    </row>
    <row r="10" customFormat="false" ht="15" hidden="false" customHeight="false" outlineLevel="0" collapsed="false">
      <c r="A10" s="37" t="s">
        <v>33</v>
      </c>
      <c r="B10" s="33" t="s">
        <v>82</v>
      </c>
      <c r="C10" s="34" t="n">
        <v>20</v>
      </c>
      <c r="D10" s="38" t="n">
        <v>25</v>
      </c>
      <c r="E10" s="33" t="s">
        <v>83</v>
      </c>
    </row>
    <row r="11" customFormat="false" ht="15" hidden="false" customHeight="false" outlineLevel="0" collapsed="false">
      <c r="A11" s="37" t="s">
        <v>84</v>
      </c>
      <c r="B11" s="33" t="s">
        <v>80</v>
      </c>
      <c r="C11" s="34" t="n">
        <v>450</v>
      </c>
      <c r="D11" s="38" t="n">
        <v>5</v>
      </c>
      <c r="E11" s="33" t="s">
        <v>83</v>
      </c>
    </row>
    <row r="12" customFormat="false" ht="15" hidden="false" customHeight="false" outlineLevel="0" collapsed="false">
      <c r="A12" s="37" t="s">
        <v>84</v>
      </c>
      <c r="B12" s="33" t="s">
        <v>82</v>
      </c>
      <c r="C12" s="34" t="n">
        <v>20</v>
      </c>
      <c r="D12" s="38" t="n">
        <v>25</v>
      </c>
      <c r="E12" s="33" t="s">
        <v>83</v>
      </c>
    </row>
    <row r="13" customFormat="false" ht="15" hidden="false" customHeight="false" outlineLevel="0" collapsed="false">
      <c r="A13" s="37" t="s">
        <v>85</v>
      </c>
      <c r="B13" s="33" t="s">
        <v>80</v>
      </c>
      <c r="C13" s="34" t="n">
        <v>450</v>
      </c>
      <c r="D13" s="38" t="n">
        <v>5</v>
      </c>
      <c r="E13" s="33" t="s">
        <v>83</v>
      </c>
    </row>
    <row r="14" customFormat="false" ht="15" hidden="false" customHeight="false" outlineLevel="0" collapsed="false">
      <c r="A14" s="37" t="s">
        <v>85</v>
      </c>
      <c r="B14" s="33" t="s">
        <v>82</v>
      </c>
      <c r="C14" s="34" t="n">
        <v>20</v>
      </c>
      <c r="D14" s="38" t="n">
        <v>25</v>
      </c>
      <c r="E14" s="33" t="s">
        <v>83</v>
      </c>
    </row>
    <row r="15" customFormat="false" ht="15" hidden="false" customHeight="false" outlineLevel="0" collapsed="false">
      <c r="A15" s="37" t="s">
        <v>86</v>
      </c>
      <c r="B15" s="33" t="s">
        <v>80</v>
      </c>
      <c r="C15" s="34" t="n">
        <v>450</v>
      </c>
      <c r="D15" s="38" t="n">
        <v>5</v>
      </c>
      <c r="E15" s="33" t="s">
        <v>83</v>
      </c>
    </row>
    <row r="16" customFormat="false" ht="15" hidden="false" customHeight="false" outlineLevel="0" collapsed="false">
      <c r="A16" s="37" t="s">
        <v>86</v>
      </c>
      <c r="B16" s="33" t="s">
        <v>82</v>
      </c>
      <c r="C16" s="34" t="n">
        <v>20</v>
      </c>
      <c r="D16" s="38" t="n">
        <v>25</v>
      </c>
      <c r="E16" s="33" t="s">
        <v>83</v>
      </c>
    </row>
    <row r="17" customFormat="false" ht="15" hidden="false" customHeight="false" outlineLevel="0" collapsed="false">
      <c r="A17" s="37"/>
      <c r="B17" s="33"/>
      <c r="C17" s="34"/>
      <c r="D17" s="38"/>
      <c r="E17" s="33"/>
    </row>
    <row r="18" customFormat="false" ht="15" hidden="false" customHeight="false" outlineLevel="0" collapsed="false">
      <c r="A18" s="37"/>
      <c r="B18" s="33"/>
      <c r="C18" s="34"/>
      <c r="D18" s="38"/>
      <c r="E18" s="33"/>
    </row>
    <row r="19" customFormat="false" ht="15" hidden="false" customHeight="false" outlineLevel="0" collapsed="false">
      <c r="A19" s="37"/>
      <c r="B19" s="33"/>
      <c r="C19" s="34"/>
      <c r="D19" s="38"/>
      <c r="E19" s="33"/>
    </row>
    <row r="20" customFormat="false" ht="15" hidden="false" customHeight="false" outlineLevel="0" collapsed="false">
      <c r="A20" s="37"/>
      <c r="B20" s="33"/>
      <c r="C20" s="34"/>
      <c r="D20" s="38"/>
      <c r="E20" s="33"/>
    </row>
    <row r="21" customFormat="false" ht="15" hidden="false" customHeight="false" outlineLevel="0" collapsed="false">
      <c r="A21" s="37"/>
      <c r="B21" s="33"/>
      <c r="C21" s="34"/>
      <c r="D21" s="38"/>
      <c r="E21" s="33"/>
    </row>
    <row r="22" customFormat="false" ht="15" hidden="false" customHeight="false" outlineLevel="0" collapsed="false">
      <c r="A22" s="37"/>
      <c r="B22" s="33"/>
      <c r="C22" s="34"/>
      <c r="D22" s="38"/>
      <c r="E22" s="33"/>
    </row>
    <row r="23" customFormat="false" ht="15" hidden="false" customHeight="false" outlineLevel="0" collapsed="false">
      <c r="A23" s="37"/>
      <c r="B23" s="33"/>
      <c r="C23" s="34"/>
      <c r="D23" s="38"/>
      <c r="E23" s="33"/>
    </row>
    <row r="24" customFormat="false" ht="15" hidden="false" customHeight="false" outlineLevel="0" collapsed="false">
      <c r="A24" s="37"/>
      <c r="B24" s="33"/>
      <c r="C24" s="34"/>
      <c r="D24" s="38"/>
      <c r="E24" s="33"/>
    </row>
    <row r="25" customFormat="false" ht="15" hidden="false" customHeight="false" outlineLevel="0" collapsed="false">
      <c r="A25" s="37"/>
      <c r="B25" s="33"/>
      <c r="C25" s="34"/>
      <c r="D25" s="38"/>
      <c r="E25" s="33"/>
    </row>
    <row r="26" customFormat="false" ht="15" hidden="false" customHeight="false" outlineLevel="0" collapsed="false">
      <c r="A26" s="37"/>
      <c r="B26" s="33"/>
      <c r="C26" s="34"/>
      <c r="D26" s="38"/>
      <c r="E26" s="33"/>
    </row>
    <row r="27" customFormat="false" ht="15" hidden="false" customHeight="false" outlineLevel="0" collapsed="false">
      <c r="A27" s="37"/>
      <c r="B27" s="33"/>
      <c r="C27" s="34"/>
      <c r="D27" s="38"/>
      <c r="E27" s="33"/>
    </row>
    <row r="28" customFormat="false" ht="15" hidden="false" customHeight="false" outlineLevel="0" collapsed="false">
      <c r="A28" s="37"/>
      <c r="B28" s="33"/>
      <c r="C28" s="34"/>
      <c r="D28" s="38"/>
      <c r="E28" s="33"/>
    </row>
    <row r="29" customFormat="false" ht="15" hidden="false" customHeight="false" outlineLevel="0" collapsed="false">
      <c r="A29" s="37"/>
      <c r="B29" s="33"/>
      <c r="C29" s="34"/>
      <c r="D29" s="38"/>
      <c r="E29" s="33"/>
    </row>
    <row r="30" customFormat="false" ht="15" hidden="false" customHeight="false" outlineLevel="0" collapsed="false">
      <c r="A30" s="37"/>
      <c r="B30" s="33"/>
      <c r="C30" s="34"/>
      <c r="D30" s="38"/>
      <c r="E30" s="33"/>
    </row>
    <row r="31" customFormat="false" ht="15" hidden="false" customHeight="false" outlineLevel="0" collapsed="false">
      <c r="A31" s="37"/>
      <c r="B31" s="33"/>
      <c r="C31" s="34"/>
      <c r="D31" s="38"/>
      <c r="E31" s="33"/>
    </row>
    <row r="32" customFormat="false" ht="15" hidden="false" customHeight="false" outlineLevel="0" collapsed="false">
      <c r="A32" s="37"/>
      <c r="B32" s="33"/>
      <c r="C32" s="34"/>
      <c r="D32" s="38"/>
      <c r="E32" s="33"/>
    </row>
    <row r="33" customFormat="false" ht="15" hidden="false" customHeight="false" outlineLevel="0" collapsed="false">
      <c r="A33" s="37"/>
      <c r="B33" s="33"/>
      <c r="C33" s="34"/>
      <c r="D33" s="38"/>
      <c r="E33" s="33"/>
    </row>
    <row r="34" customFormat="false" ht="15" hidden="false" customHeight="false" outlineLevel="0" collapsed="false">
      <c r="A34" s="37"/>
      <c r="B34" s="33"/>
      <c r="C34" s="34"/>
      <c r="D34" s="38"/>
      <c r="E34" s="33"/>
    </row>
    <row r="35" customFormat="false" ht="15" hidden="false" customHeight="false" outlineLevel="0" collapsed="false">
      <c r="A35" s="37"/>
      <c r="B35" s="33"/>
      <c r="C35" s="34"/>
      <c r="D35" s="38"/>
      <c r="E35" s="33"/>
    </row>
    <row r="36" customFormat="false" ht="15" hidden="false" customHeight="false" outlineLevel="0" collapsed="false">
      <c r="A36" s="37"/>
      <c r="B36" s="33"/>
      <c r="C36" s="34"/>
      <c r="D36" s="38"/>
      <c r="E36" s="33"/>
    </row>
    <row r="37" customFormat="false" ht="15" hidden="false" customHeight="false" outlineLevel="0" collapsed="false">
      <c r="A37" s="37"/>
      <c r="B37" s="33"/>
      <c r="C37" s="34"/>
      <c r="D37" s="38"/>
      <c r="E37" s="33"/>
    </row>
    <row r="38" customFormat="false" ht="15" hidden="false" customHeight="false" outlineLevel="0" collapsed="false">
      <c r="A38" s="37"/>
      <c r="B38" s="33"/>
      <c r="C38" s="34"/>
      <c r="D38" s="38"/>
      <c r="E38" s="33"/>
    </row>
    <row r="39" customFormat="false" ht="15" hidden="false" customHeight="false" outlineLevel="0" collapsed="false">
      <c r="A39" s="37"/>
      <c r="B39" s="33"/>
      <c r="C39" s="34"/>
      <c r="D39" s="38"/>
      <c r="E39" s="33"/>
    </row>
    <row r="40" customFormat="false" ht="15" hidden="false" customHeight="false" outlineLevel="0" collapsed="false">
      <c r="A40" s="37"/>
      <c r="B40" s="33"/>
      <c r="C40" s="34"/>
      <c r="D40" s="38"/>
      <c r="E40" s="33"/>
    </row>
    <row r="41" customFormat="false" ht="15" hidden="false" customHeight="false" outlineLevel="0" collapsed="false">
      <c r="A41" s="37"/>
      <c r="B41" s="33"/>
      <c r="C41" s="34"/>
      <c r="D41" s="38"/>
      <c r="E41" s="33"/>
    </row>
    <row r="42" customFormat="false" ht="15" hidden="false" customHeight="false" outlineLevel="0" collapsed="false">
      <c r="A42" s="37"/>
      <c r="B42" s="33"/>
      <c r="C42" s="34"/>
      <c r="D42" s="38"/>
      <c r="E42" s="33"/>
    </row>
    <row r="43" customFormat="false" ht="15" hidden="false" customHeight="false" outlineLevel="0" collapsed="false">
      <c r="A43" s="37"/>
      <c r="B43" s="33"/>
      <c r="C43" s="34"/>
      <c r="D43" s="38"/>
      <c r="E43" s="33"/>
    </row>
    <row r="44" customFormat="false" ht="15" hidden="false" customHeight="false" outlineLevel="0" collapsed="false">
      <c r="A44" s="37"/>
      <c r="B44" s="33"/>
      <c r="C44" s="34"/>
      <c r="D44" s="38"/>
      <c r="E44" s="33"/>
    </row>
    <row r="45" customFormat="false" ht="15" hidden="false" customHeight="false" outlineLevel="0" collapsed="false">
      <c r="A45" s="37"/>
      <c r="B45" s="33"/>
      <c r="C45" s="34"/>
      <c r="D45" s="38"/>
      <c r="E45" s="33"/>
    </row>
    <row r="46" customFormat="false" ht="15" hidden="false" customHeight="false" outlineLevel="0" collapsed="false">
      <c r="A46" s="37"/>
      <c r="B46" s="33"/>
      <c r="C46" s="34"/>
      <c r="D46" s="38"/>
      <c r="E46" s="33"/>
    </row>
    <row r="47" customFormat="false" ht="15" hidden="false" customHeight="false" outlineLevel="0" collapsed="false">
      <c r="A47" s="37"/>
      <c r="B47" s="33"/>
      <c r="C47" s="34"/>
      <c r="D47" s="38"/>
      <c r="E47" s="33"/>
    </row>
    <row r="48" customFormat="false" ht="15" hidden="false" customHeight="false" outlineLevel="0" collapsed="false">
      <c r="A48" s="37"/>
      <c r="B48" s="33"/>
      <c r="C48" s="34"/>
      <c r="D48" s="38"/>
      <c r="E48" s="33"/>
    </row>
    <row r="49" customFormat="false" ht="15" hidden="false" customHeight="false" outlineLevel="0" collapsed="false">
      <c r="A49" s="37"/>
      <c r="B49" s="33"/>
      <c r="C49" s="34"/>
      <c r="D49" s="38"/>
      <c r="E49" s="33"/>
    </row>
    <row r="50" customFormat="false" ht="15" hidden="false" customHeight="false" outlineLevel="0" collapsed="false">
      <c r="A50" s="37"/>
      <c r="B50" s="33"/>
      <c r="C50" s="34"/>
      <c r="D50" s="38"/>
      <c r="E50" s="33"/>
    </row>
    <row r="51" customFormat="false" ht="15" hidden="false" customHeight="false" outlineLevel="0" collapsed="false">
      <c r="A51" s="37"/>
      <c r="B51" s="33"/>
      <c r="C51" s="34"/>
      <c r="D51" s="38"/>
      <c r="E51" s="33"/>
    </row>
    <row r="52" customFormat="false" ht="15" hidden="false" customHeight="false" outlineLevel="0" collapsed="false">
      <c r="A52" s="37"/>
      <c r="B52" s="33"/>
      <c r="C52" s="34"/>
      <c r="D52" s="38"/>
      <c r="E52" s="33"/>
    </row>
    <row r="53" customFormat="false" ht="15" hidden="false" customHeight="false" outlineLevel="0" collapsed="false">
      <c r="A53" s="37"/>
      <c r="B53" s="33"/>
      <c r="C53" s="34"/>
      <c r="D53" s="38"/>
      <c r="E53" s="33"/>
    </row>
    <row r="54" customFormat="false" ht="15" hidden="false" customHeight="false" outlineLevel="0" collapsed="false">
      <c r="A54" s="37"/>
      <c r="B54" s="33"/>
      <c r="C54" s="34"/>
      <c r="D54" s="38"/>
      <c r="E54" s="33"/>
    </row>
    <row r="55" customFormat="false" ht="15" hidden="false" customHeight="false" outlineLevel="0" collapsed="false">
      <c r="A55" s="37"/>
      <c r="B55" s="33"/>
      <c r="C55" s="34"/>
      <c r="D55" s="38"/>
      <c r="E55" s="33"/>
    </row>
    <row r="56" customFormat="false" ht="15" hidden="false" customHeight="false" outlineLevel="0" collapsed="false">
      <c r="A56" s="37"/>
      <c r="B56" s="33"/>
      <c r="C56" s="34"/>
      <c r="D56" s="38"/>
      <c r="E56" s="33"/>
    </row>
    <row r="57" customFormat="false" ht="15" hidden="false" customHeight="false" outlineLevel="0" collapsed="false">
      <c r="A57" s="37"/>
      <c r="B57" s="33"/>
      <c r="C57" s="34"/>
      <c r="D57" s="38"/>
      <c r="E57" s="33"/>
    </row>
    <row r="58" customFormat="false" ht="15" hidden="false" customHeight="false" outlineLevel="0" collapsed="false">
      <c r="A58" s="37"/>
      <c r="B58" s="33"/>
      <c r="C58" s="34"/>
      <c r="D58" s="38"/>
      <c r="E58" s="33"/>
    </row>
    <row r="59" customFormat="false" ht="15" hidden="false" customHeight="false" outlineLevel="0" collapsed="false">
      <c r="A59" s="37"/>
      <c r="B59" s="33"/>
      <c r="C59" s="34"/>
      <c r="D59" s="38"/>
      <c r="E59" s="33"/>
    </row>
    <row r="60" customFormat="false" ht="15" hidden="false" customHeight="false" outlineLevel="0" collapsed="false">
      <c r="A60" s="37"/>
      <c r="B60" s="33"/>
      <c r="C60" s="34"/>
      <c r="D60" s="38"/>
      <c r="E60" s="33"/>
    </row>
    <row r="61" customFormat="false" ht="15" hidden="false" customHeight="false" outlineLevel="0" collapsed="false">
      <c r="A61" s="37"/>
      <c r="B61" s="33"/>
      <c r="C61" s="34"/>
      <c r="D61" s="38"/>
      <c r="E61" s="33"/>
    </row>
    <row r="62" customFormat="false" ht="15" hidden="false" customHeight="false" outlineLevel="0" collapsed="false">
      <c r="A62" s="37"/>
      <c r="B62" s="33"/>
      <c r="C62" s="34"/>
      <c r="D62" s="38"/>
      <c r="E62" s="33"/>
    </row>
    <row r="63" customFormat="false" ht="15" hidden="false" customHeight="false" outlineLevel="0" collapsed="false">
      <c r="A63" s="37"/>
      <c r="B63" s="33"/>
      <c r="C63" s="34"/>
      <c r="D63" s="38"/>
      <c r="E63" s="33"/>
    </row>
    <row r="64" customFormat="false" ht="15" hidden="false" customHeight="false" outlineLevel="0" collapsed="false">
      <c r="A64" s="37"/>
      <c r="B64" s="33"/>
      <c r="C64" s="34"/>
      <c r="D64" s="38"/>
      <c r="E64" s="33"/>
    </row>
    <row r="65" customFormat="false" ht="15" hidden="false" customHeight="false" outlineLevel="0" collapsed="false">
      <c r="A65" s="37"/>
      <c r="B65" s="33"/>
      <c r="C65" s="34"/>
      <c r="D65" s="38"/>
      <c r="E65" s="33"/>
    </row>
    <row r="66" customFormat="false" ht="15" hidden="false" customHeight="false" outlineLevel="0" collapsed="false">
      <c r="A66" s="37"/>
      <c r="B66" s="33"/>
      <c r="C66" s="34"/>
      <c r="D66" s="38"/>
      <c r="E66" s="33"/>
    </row>
    <row r="67" customFormat="false" ht="15" hidden="false" customHeight="false" outlineLevel="0" collapsed="false">
      <c r="A67" s="37"/>
      <c r="B67" s="33"/>
      <c r="C67" s="34"/>
      <c r="D67" s="38"/>
      <c r="E67" s="33"/>
    </row>
    <row r="68" customFormat="false" ht="15" hidden="false" customHeight="false" outlineLevel="0" collapsed="false">
      <c r="A68" s="37"/>
      <c r="B68" s="33"/>
      <c r="C68" s="34"/>
      <c r="D68" s="38"/>
      <c r="E68" s="33"/>
    </row>
    <row r="69" customFormat="false" ht="15" hidden="false" customHeight="false" outlineLevel="0" collapsed="false">
      <c r="A69" s="37"/>
      <c r="B69" s="33"/>
      <c r="C69" s="34"/>
      <c r="D69" s="38"/>
      <c r="E69" s="33"/>
    </row>
    <row r="70" customFormat="false" ht="15" hidden="false" customHeight="false" outlineLevel="0" collapsed="false">
      <c r="A70" s="37"/>
      <c r="B70" s="33"/>
      <c r="C70" s="34"/>
      <c r="D70" s="38"/>
      <c r="E70" s="33"/>
    </row>
    <row r="71" customFormat="false" ht="15" hidden="false" customHeight="false" outlineLevel="0" collapsed="false">
      <c r="A71" s="37"/>
      <c r="B71" s="33"/>
      <c r="C71" s="34"/>
      <c r="D71" s="38"/>
      <c r="E71" s="33"/>
    </row>
    <row r="72" customFormat="false" ht="15" hidden="false" customHeight="false" outlineLevel="0" collapsed="false">
      <c r="A72" s="37"/>
      <c r="B72" s="33"/>
      <c r="C72" s="34"/>
      <c r="D72" s="38"/>
      <c r="E72" s="33"/>
    </row>
    <row r="73" customFormat="false" ht="15" hidden="false" customHeight="false" outlineLevel="0" collapsed="false">
      <c r="A73" s="37"/>
      <c r="B73" s="33"/>
      <c r="C73" s="34"/>
      <c r="D73" s="38"/>
      <c r="E73" s="33"/>
    </row>
    <row r="74" customFormat="false" ht="15" hidden="false" customHeight="false" outlineLevel="0" collapsed="false">
      <c r="A74" s="37"/>
      <c r="B74" s="33"/>
      <c r="C74" s="34"/>
      <c r="D74" s="38"/>
      <c r="E74" s="33"/>
    </row>
    <row r="75" customFormat="false" ht="15" hidden="false" customHeight="false" outlineLevel="0" collapsed="false">
      <c r="A75" s="37"/>
      <c r="B75" s="33"/>
      <c r="C75" s="34"/>
      <c r="D75" s="38"/>
      <c r="E75" s="33"/>
    </row>
    <row r="76" customFormat="false" ht="15" hidden="false" customHeight="false" outlineLevel="0" collapsed="false">
      <c r="A76" s="37"/>
      <c r="B76" s="33"/>
      <c r="C76" s="34"/>
      <c r="D76" s="38"/>
      <c r="E76" s="33"/>
    </row>
    <row r="77" customFormat="false" ht="15" hidden="false" customHeight="false" outlineLevel="0" collapsed="false">
      <c r="A77" s="37"/>
      <c r="B77" s="33"/>
      <c r="C77" s="34"/>
      <c r="D77" s="38"/>
      <c r="E77" s="33"/>
    </row>
    <row r="78" customFormat="false" ht="15" hidden="false" customHeight="false" outlineLevel="0" collapsed="false">
      <c r="A78" s="37"/>
      <c r="B78" s="33"/>
      <c r="C78" s="34"/>
      <c r="D78" s="38"/>
      <c r="E78" s="33"/>
    </row>
    <row r="79" customFormat="false" ht="15" hidden="false" customHeight="false" outlineLevel="0" collapsed="false">
      <c r="A79" s="37"/>
      <c r="B79" s="33"/>
      <c r="C79" s="34"/>
      <c r="D79" s="38"/>
      <c r="E79" s="33"/>
    </row>
    <row r="80" customFormat="false" ht="15" hidden="false" customHeight="false" outlineLevel="0" collapsed="false">
      <c r="A80" s="37"/>
      <c r="B80" s="33"/>
      <c r="C80" s="34"/>
      <c r="D80" s="38"/>
      <c r="E80" s="33"/>
    </row>
    <row r="81" customFormat="false" ht="15" hidden="false" customHeight="false" outlineLevel="0" collapsed="false">
      <c r="A81" s="37"/>
      <c r="B81" s="33"/>
      <c r="C81" s="34"/>
      <c r="D81" s="38"/>
      <c r="E81" s="33"/>
    </row>
    <row r="82" customFormat="false" ht="15" hidden="false" customHeight="false" outlineLevel="0" collapsed="false">
      <c r="A82" s="37"/>
      <c r="B82" s="33"/>
      <c r="C82" s="34"/>
      <c r="D82" s="38"/>
      <c r="E82" s="33"/>
    </row>
    <row r="83" customFormat="false" ht="15" hidden="false" customHeight="false" outlineLevel="0" collapsed="false">
      <c r="A83" s="37"/>
      <c r="B83" s="33"/>
      <c r="C83" s="34"/>
      <c r="D83" s="38"/>
      <c r="E83" s="33"/>
    </row>
    <row r="84" customFormat="false" ht="15" hidden="false" customHeight="false" outlineLevel="0" collapsed="false">
      <c r="A84" s="37"/>
      <c r="B84" s="33"/>
      <c r="C84" s="34"/>
      <c r="D84" s="38"/>
      <c r="E84" s="33"/>
    </row>
    <row r="85" customFormat="false" ht="15" hidden="false" customHeight="false" outlineLevel="0" collapsed="false">
      <c r="A85" s="37"/>
      <c r="B85" s="33"/>
      <c r="C85" s="34"/>
      <c r="D85" s="38"/>
      <c r="E85" s="33"/>
    </row>
    <row r="86" customFormat="false" ht="15" hidden="false" customHeight="false" outlineLevel="0" collapsed="false">
      <c r="A86" s="37"/>
      <c r="B86" s="33"/>
      <c r="C86" s="34"/>
      <c r="D86" s="38"/>
      <c r="E86" s="33"/>
    </row>
    <row r="87" customFormat="false" ht="15" hidden="false" customHeight="false" outlineLevel="0" collapsed="false">
      <c r="A87" s="37"/>
      <c r="B87" s="33"/>
      <c r="C87" s="34"/>
      <c r="D87" s="38"/>
      <c r="E87" s="33"/>
    </row>
    <row r="88" customFormat="false" ht="15" hidden="false" customHeight="false" outlineLevel="0" collapsed="false">
      <c r="A88" s="37"/>
      <c r="B88" s="33"/>
      <c r="C88" s="34"/>
      <c r="D88" s="38"/>
      <c r="E88" s="33"/>
    </row>
    <row r="89" customFormat="false" ht="15" hidden="false" customHeight="false" outlineLevel="0" collapsed="false">
      <c r="A89" s="37"/>
      <c r="B89" s="33"/>
      <c r="C89" s="34"/>
      <c r="D89" s="38"/>
      <c r="E89" s="33"/>
    </row>
    <row r="90" customFormat="false" ht="15" hidden="false" customHeight="false" outlineLevel="0" collapsed="false">
      <c r="A90" s="37"/>
      <c r="B90" s="33"/>
      <c r="C90" s="34"/>
      <c r="D90" s="38"/>
      <c r="E90" s="33"/>
    </row>
    <row r="91" customFormat="false" ht="15" hidden="false" customHeight="false" outlineLevel="0" collapsed="false">
      <c r="A91" s="37"/>
      <c r="B91" s="33"/>
      <c r="C91" s="34"/>
      <c r="D91" s="38"/>
      <c r="E91" s="33"/>
    </row>
    <row r="92" customFormat="false" ht="15" hidden="false" customHeight="false" outlineLevel="0" collapsed="false">
      <c r="A92" s="37"/>
      <c r="B92" s="33"/>
      <c r="C92" s="34"/>
      <c r="D92" s="38"/>
      <c r="E92" s="33"/>
    </row>
    <row r="93" customFormat="false" ht="15" hidden="false" customHeight="false" outlineLevel="0" collapsed="false">
      <c r="A93" s="37"/>
      <c r="B93" s="33"/>
      <c r="C93" s="34"/>
      <c r="D93" s="38"/>
      <c r="E93" s="33"/>
    </row>
    <row r="94" customFormat="false" ht="15" hidden="false" customHeight="false" outlineLevel="0" collapsed="false">
      <c r="A94" s="37"/>
      <c r="B94" s="33"/>
      <c r="C94" s="34"/>
      <c r="D94" s="38"/>
      <c r="E94" s="33"/>
    </row>
    <row r="95" customFormat="false" ht="15" hidden="false" customHeight="false" outlineLevel="0" collapsed="false">
      <c r="A95" s="37"/>
      <c r="B95" s="33"/>
      <c r="C95" s="34"/>
      <c r="D95" s="38"/>
      <c r="E95" s="33"/>
    </row>
    <row r="96" customFormat="false" ht="15" hidden="false" customHeight="false" outlineLevel="0" collapsed="false">
      <c r="A96" s="37"/>
      <c r="B96" s="33"/>
      <c r="C96" s="34"/>
      <c r="D96" s="38"/>
      <c r="E96" s="33"/>
    </row>
    <row r="97" customFormat="false" ht="15" hidden="false" customHeight="false" outlineLevel="0" collapsed="false">
      <c r="A97" s="37"/>
      <c r="B97" s="33"/>
      <c r="C97" s="34"/>
      <c r="D97" s="38"/>
      <c r="E97" s="33"/>
    </row>
    <row r="98" customFormat="false" ht="15" hidden="false" customHeight="false" outlineLevel="0" collapsed="false">
      <c r="A98" s="37"/>
      <c r="B98" s="33"/>
      <c r="C98" s="34"/>
      <c r="D98" s="38"/>
      <c r="E98" s="33"/>
    </row>
    <row r="99" customFormat="false" ht="15" hidden="false" customHeight="false" outlineLevel="0" collapsed="false">
      <c r="A99" s="37"/>
      <c r="B99" s="33"/>
      <c r="C99" s="34"/>
      <c r="D99" s="38"/>
      <c r="E99" s="33"/>
    </row>
    <row r="100" customFormat="false" ht="15" hidden="false" customHeight="false" outlineLevel="0" collapsed="false">
      <c r="A100" s="37"/>
      <c r="B100" s="33"/>
      <c r="C100" s="34"/>
      <c r="D100" s="38"/>
      <c r="E100" s="33"/>
    </row>
    <row r="101" customFormat="false" ht="15" hidden="false" customHeight="false" outlineLevel="0" collapsed="false">
      <c r="A101" s="37"/>
      <c r="B101" s="33"/>
      <c r="C101" s="34"/>
      <c r="D101" s="38"/>
      <c r="E101" s="33"/>
    </row>
    <row r="102" customFormat="false" ht="15" hidden="false" customHeight="false" outlineLevel="0" collapsed="false">
      <c r="A102" s="37"/>
      <c r="B102" s="33"/>
      <c r="C102" s="34"/>
      <c r="D102" s="38"/>
      <c r="E102" s="33"/>
    </row>
    <row r="103" customFormat="false" ht="15" hidden="false" customHeight="false" outlineLevel="0" collapsed="false">
      <c r="A103" s="37"/>
      <c r="B103" s="33"/>
      <c r="C103" s="34"/>
      <c r="D103" s="38"/>
      <c r="E103" s="33"/>
    </row>
    <row r="104" customFormat="false" ht="15" hidden="false" customHeight="false" outlineLevel="0" collapsed="false">
      <c r="A104" s="37"/>
      <c r="B104" s="33"/>
      <c r="C104" s="34"/>
      <c r="D104" s="38"/>
      <c r="E104" s="33"/>
    </row>
    <row r="105" customFormat="false" ht="15" hidden="false" customHeight="false" outlineLevel="0" collapsed="false">
      <c r="A105" s="37"/>
      <c r="B105" s="33"/>
      <c r="C105" s="34"/>
      <c r="D105" s="38"/>
      <c r="E105" s="33"/>
    </row>
    <row r="106" customFormat="false" ht="15" hidden="false" customHeight="false" outlineLevel="0" collapsed="false">
      <c r="A106" s="37"/>
      <c r="B106" s="33"/>
      <c r="C106" s="34"/>
      <c r="D106" s="38"/>
      <c r="E106" s="33"/>
    </row>
    <row r="107" customFormat="false" ht="15" hidden="false" customHeight="false" outlineLevel="0" collapsed="false">
      <c r="A107" s="37"/>
      <c r="B107" s="33"/>
      <c r="C107" s="34"/>
      <c r="D107" s="38"/>
      <c r="E107" s="33"/>
    </row>
    <row r="108" customFormat="false" ht="15" hidden="false" customHeight="false" outlineLevel="0" collapsed="false">
      <c r="A108" s="37"/>
      <c r="B108" s="33"/>
      <c r="C108" s="34"/>
      <c r="D108" s="38"/>
      <c r="E108" s="33"/>
    </row>
    <row r="109" customFormat="false" ht="15" hidden="false" customHeight="false" outlineLevel="0" collapsed="false">
      <c r="A109" s="37"/>
      <c r="B109" s="33"/>
      <c r="C109" s="34"/>
      <c r="D109" s="38"/>
      <c r="E109" s="33"/>
    </row>
    <row r="110" customFormat="false" ht="15" hidden="false" customHeight="false" outlineLevel="0" collapsed="false">
      <c r="A110" s="37"/>
      <c r="B110" s="33"/>
      <c r="C110" s="34"/>
      <c r="D110" s="38"/>
      <c r="E110" s="33"/>
    </row>
    <row r="111" customFormat="false" ht="15" hidden="false" customHeight="false" outlineLevel="0" collapsed="false">
      <c r="A111" s="37"/>
      <c r="B111" s="33"/>
      <c r="C111" s="34"/>
      <c r="D111" s="38"/>
      <c r="E111" s="33"/>
    </row>
    <row r="112" customFormat="false" ht="15" hidden="false" customHeight="false" outlineLevel="0" collapsed="false">
      <c r="A112" s="37"/>
      <c r="B112" s="33"/>
      <c r="C112" s="34"/>
      <c r="D112" s="38"/>
      <c r="E112" s="33"/>
    </row>
    <row r="113" customFormat="false" ht="15" hidden="false" customHeight="false" outlineLevel="0" collapsed="false">
      <c r="A113" s="37"/>
      <c r="B113" s="33"/>
      <c r="C113" s="34"/>
      <c r="D113" s="38"/>
      <c r="E113" s="33"/>
    </row>
    <row r="114" customFormat="false" ht="15" hidden="false" customHeight="false" outlineLevel="0" collapsed="false">
      <c r="A114" s="37"/>
      <c r="B114" s="33"/>
      <c r="C114" s="34"/>
      <c r="D114" s="38"/>
      <c r="E114" s="33"/>
    </row>
    <row r="115" customFormat="false" ht="15" hidden="false" customHeight="false" outlineLevel="0" collapsed="false">
      <c r="A115" s="37"/>
      <c r="B115" s="33"/>
      <c r="C115" s="34"/>
      <c r="D115" s="38"/>
      <c r="E115" s="33"/>
    </row>
    <row r="116" customFormat="false" ht="15" hidden="false" customHeight="false" outlineLevel="0" collapsed="false">
      <c r="A116" s="37"/>
      <c r="B116" s="33"/>
      <c r="C116" s="34"/>
      <c r="D116" s="38"/>
      <c r="E116" s="33"/>
    </row>
    <row r="117" customFormat="false" ht="15" hidden="false" customHeight="false" outlineLevel="0" collapsed="false">
      <c r="A117" s="37"/>
      <c r="B117" s="33"/>
      <c r="C117" s="34"/>
      <c r="D117" s="38"/>
      <c r="E117" s="33"/>
    </row>
    <row r="118" customFormat="false" ht="15" hidden="false" customHeight="false" outlineLevel="0" collapsed="false">
      <c r="A118" s="37"/>
      <c r="B118" s="33"/>
      <c r="C118" s="34"/>
      <c r="D118" s="38"/>
      <c r="E118" s="33"/>
    </row>
    <row r="119" customFormat="false" ht="15" hidden="false" customHeight="false" outlineLevel="0" collapsed="false">
      <c r="A119" s="37"/>
      <c r="B119" s="33"/>
      <c r="C119" s="34"/>
      <c r="D119" s="38"/>
      <c r="E119" s="33"/>
    </row>
    <row r="120" customFormat="false" ht="15" hidden="false" customHeight="false" outlineLevel="0" collapsed="false">
      <c r="A120" s="37"/>
      <c r="B120" s="33"/>
      <c r="C120" s="34"/>
      <c r="D120" s="38"/>
      <c r="E120" s="33"/>
    </row>
    <row r="121" customFormat="false" ht="15" hidden="false" customHeight="false" outlineLevel="0" collapsed="false">
      <c r="A121" s="37"/>
      <c r="B121" s="33"/>
      <c r="C121" s="34"/>
      <c r="D121" s="38"/>
      <c r="E121" s="33"/>
    </row>
    <row r="122" customFormat="false" ht="15" hidden="false" customHeight="false" outlineLevel="0" collapsed="false">
      <c r="A122" s="37"/>
      <c r="B122" s="33"/>
      <c r="C122" s="34"/>
      <c r="D122" s="38"/>
      <c r="E122" s="33"/>
    </row>
    <row r="123" customFormat="false" ht="15" hidden="false" customHeight="false" outlineLevel="0" collapsed="false">
      <c r="A123" s="37"/>
      <c r="B123" s="33"/>
      <c r="C123" s="34"/>
      <c r="D123" s="38"/>
      <c r="E123" s="33"/>
    </row>
    <row r="124" customFormat="false" ht="15" hidden="false" customHeight="false" outlineLevel="0" collapsed="false">
      <c r="A124" s="37"/>
      <c r="B124" s="33"/>
      <c r="C124" s="34"/>
      <c r="D124" s="38"/>
      <c r="E124" s="33"/>
    </row>
    <row r="125" customFormat="false" ht="15" hidden="false" customHeight="false" outlineLevel="0" collapsed="false">
      <c r="A125" s="37"/>
      <c r="B125" s="33"/>
      <c r="C125" s="34"/>
      <c r="D125" s="38"/>
      <c r="E125" s="33"/>
    </row>
    <row r="126" customFormat="false" ht="15" hidden="false" customHeight="false" outlineLevel="0" collapsed="false">
      <c r="A126" s="37"/>
      <c r="B126" s="33"/>
      <c r="C126" s="34"/>
      <c r="D126" s="38"/>
      <c r="E126" s="33"/>
    </row>
    <row r="127" customFormat="false" ht="15" hidden="false" customHeight="false" outlineLevel="0" collapsed="false">
      <c r="A127" s="37"/>
      <c r="B127" s="33"/>
      <c r="C127" s="34"/>
      <c r="D127" s="38"/>
      <c r="E127" s="33"/>
    </row>
    <row r="128" customFormat="false" ht="15" hidden="false" customHeight="false" outlineLevel="0" collapsed="false">
      <c r="A128" s="37"/>
      <c r="B128" s="33"/>
      <c r="C128" s="34"/>
      <c r="D128" s="38"/>
      <c r="E128" s="33"/>
    </row>
    <row r="129" customFormat="false" ht="15" hidden="false" customHeight="false" outlineLevel="0" collapsed="false">
      <c r="A129" s="37"/>
      <c r="B129" s="33"/>
      <c r="C129" s="34"/>
      <c r="D129" s="38"/>
      <c r="E129" s="33"/>
    </row>
    <row r="130" customFormat="false" ht="15" hidden="false" customHeight="false" outlineLevel="0" collapsed="false">
      <c r="A130" s="37"/>
      <c r="B130" s="33"/>
      <c r="C130" s="34"/>
      <c r="D130" s="38"/>
      <c r="E130" s="33"/>
    </row>
    <row r="131" customFormat="false" ht="15" hidden="false" customHeight="false" outlineLevel="0" collapsed="false">
      <c r="A131" s="37"/>
      <c r="B131" s="33"/>
      <c r="C131" s="34"/>
      <c r="D131" s="38"/>
      <c r="E131" s="33"/>
    </row>
    <row r="132" customFormat="false" ht="15" hidden="false" customHeight="false" outlineLevel="0" collapsed="false">
      <c r="A132" s="37"/>
      <c r="B132" s="33"/>
      <c r="C132" s="34"/>
      <c r="D132" s="38"/>
      <c r="E132" s="33"/>
    </row>
    <row r="133" customFormat="false" ht="15" hidden="false" customHeight="false" outlineLevel="0" collapsed="false">
      <c r="A133" s="37"/>
      <c r="B133" s="33"/>
      <c r="C133" s="34"/>
      <c r="D133" s="38"/>
      <c r="E133" s="33"/>
    </row>
    <row r="134" customFormat="false" ht="15" hidden="false" customHeight="false" outlineLevel="0" collapsed="false">
      <c r="A134" s="37"/>
      <c r="B134" s="33"/>
      <c r="C134" s="34"/>
      <c r="D134" s="38"/>
      <c r="E134" s="33"/>
    </row>
    <row r="135" customFormat="false" ht="15" hidden="false" customHeight="false" outlineLevel="0" collapsed="false">
      <c r="A135" s="37"/>
      <c r="B135" s="33"/>
      <c r="C135" s="34"/>
      <c r="D135" s="38"/>
      <c r="E135" s="33"/>
    </row>
    <row r="136" customFormat="false" ht="15" hidden="false" customHeight="false" outlineLevel="0" collapsed="false">
      <c r="A136" s="37"/>
      <c r="B136" s="33"/>
      <c r="C136" s="34"/>
      <c r="D136" s="38"/>
      <c r="E136" s="33"/>
    </row>
    <row r="137" customFormat="false" ht="15" hidden="false" customHeight="false" outlineLevel="0" collapsed="false">
      <c r="A137" s="37"/>
      <c r="B137" s="33"/>
      <c r="C137" s="34"/>
      <c r="D137" s="38"/>
      <c r="E137" s="33"/>
    </row>
    <row r="138" customFormat="false" ht="15" hidden="false" customHeight="false" outlineLevel="0" collapsed="false">
      <c r="A138" s="37"/>
      <c r="B138" s="33"/>
      <c r="C138" s="34"/>
      <c r="D138" s="38"/>
      <c r="E138" s="33"/>
    </row>
    <row r="139" customFormat="false" ht="15" hidden="false" customHeight="false" outlineLevel="0" collapsed="false">
      <c r="A139" s="37"/>
      <c r="B139" s="33"/>
      <c r="C139" s="34"/>
      <c r="D139" s="38"/>
      <c r="E139" s="33"/>
    </row>
    <row r="140" customFormat="false" ht="15" hidden="false" customHeight="false" outlineLevel="0" collapsed="false">
      <c r="A140" s="37"/>
      <c r="B140" s="33"/>
      <c r="C140" s="34"/>
      <c r="D140" s="38"/>
      <c r="E140" s="33"/>
    </row>
    <row r="141" customFormat="false" ht="15" hidden="false" customHeight="false" outlineLevel="0" collapsed="false">
      <c r="A141" s="37"/>
      <c r="B141" s="33"/>
      <c r="C141" s="34"/>
      <c r="D141" s="38"/>
      <c r="E141" s="33"/>
    </row>
    <row r="142" customFormat="false" ht="15" hidden="false" customHeight="false" outlineLevel="0" collapsed="false">
      <c r="A142" s="37"/>
      <c r="B142" s="33"/>
      <c r="C142" s="34"/>
      <c r="D142" s="38"/>
      <c r="E142" s="33"/>
    </row>
    <row r="143" customFormat="false" ht="15" hidden="false" customHeight="false" outlineLevel="0" collapsed="false">
      <c r="A143" s="37"/>
      <c r="B143" s="33"/>
      <c r="C143" s="34"/>
      <c r="D143" s="38"/>
      <c r="E143" s="33"/>
    </row>
    <row r="144" customFormat="false" ht="15" hidden="false" customHeight="false" outlineLevel="0" collapsed="false">
      <c r="A144" s="37"/>
      <c r="B144" s="33"/>
      <c r="C144" s="34"/>
      <c r="D144" s="38"/>
      <c r="E144" s="33"/>
    </row>
    <row r="145" customFormat="false" ht="15" hidden="false" customHeight="false" outlineLevel="0" collapsed="false">
      <c r="A145" s="37"/>
      <c r="B145" s="33"/>
      <c r="C145" s="34"/>
      <c r="D145" s="38"/>
      <c r="E145" s="33"/>
    </row>
    <row r="146" customFormat="false" ht="15" hidden="false" customHeight="false" outlineLevel="0" collapsed="false">
      <c r="A146" s="37"/>
      <c r="B146" s="33"/>
      <c r="C146" s="34"/>
      <c r="D146" s="38"/>
      <c r="E146" s="33"/>
    </row>
    <row r="147" customFormat="false" ht="15" hidden="false" customHeight="false" outlineLevel="0" collapsed="false">
      <c r="A147" s="37"/>
      <c r="B147" s="33"/>
      <c r="C147" s="34"/>
      <c r="D147" s="38"/>
      <c r="E147" s="33"/>
    </row>
    <row r="148" customFormat="false" ht="15" hidden="false" customHeight="false" outlineLevel="0" collapsed="false">
      <c r="A148" s="37"/>
      <c r="B148" s="33"/>
      <c r="C148" s="34"/>
      <c r="D148" s="38"/>
      <c r="E148" s="33"/>
    </row>
    <row r="149" customFormat="false" ht="15" hidden="false" customHeight="false" outlineLevel="0" collapsed="false">
      <c r="A149" s="37"/>
      <c r="B149" s="33"/>
      <c r="C149" s="34"/>
      <c r="D149" s="38"/>
      <c r="E149" s="33"/>
    </row>
    <row r="150" customFormat="false" ht="15" hidden="false" customHeight="false" outlineLevel="0" collapsed="false">
      <c r="A150" s="37"/>
      <c r="B150" s="33"/>
      <c r="C150" s="34"/>
      <c r="D150" s="38"/>
      <c r="E150" s="33"/>
    </row>
    <row r="151" customFormat="false" ht="15" hidden="false" customHeight="false" outlineLevel="0" collapsed="false">
      <c r="A151" s="37"/>
      <c r="B151" s="33"/>
      <c r="C151" s="34"/>
      <c r="D151" s="38"/>
      <c r="E151" s="33"/>
    </row>
    <row r="152" customFormat="false" ht="15" hidden="false" customHeight="false" outlineLevel="0" collapsed="false">
      <c r="A152" s="37"/>
      <c r="B152" s="33"/>
      <c r="C152" s="34"/>
      <c r="D152" s="38"/>
      <c r="E152" s="33"/>
    </row>
    <row r="153" customFormat="false" ht="15" hidden="false" customHeight="false" outlineLevel="0" collapsed="false">
      <c r="A153" s="37"/>
      <c r="B153" s="33"/>
      <c r="C153" s="34"/>
      <c r="D153" s="38"/>
      <c r="E153" s="33"/>
    </row>
    <row r="154" customFormat="false" ht="15" hidden="false" customHeight="false" outlineLevel="0" collapsed="false">
      <c r="A154" s="37"/>
      <c r="B154" s="33"/>
      <c r="C154" s="34"/>
      <c r="D154" s="38"/>
      <c r="E154" s="33"/>
    </row>
    <row r="155" customFormat="false" ht="15" hidden="false" customHeight="false" outlineLevel="0" collapsed="false">
      <c r="A155" s="37"/>
      <c r="B155" s="33"/>
      <c r="C155" s="34"/>
      <c r="D155" s="38"/>
      <c r="E155" s="33"/>
    </row>
    <row r="156" customFormat="false" ht="15" hidden="false" customHeight="false" outlineLevel="0" collapsed="false">
      <c r="A156" s="37"/>
      <c r="B156" s="33"/>
      <c r="C156" s="34"/>
      <c r="D156" s="38"/>
      <c r="E156" s="33"/>
    </row>
    <row r="157" customFormat="false" ht="15" hidden="false" customHeight="false" outlineLevel="0" collapsed="false">
      <c r="A157" s="37"/>
      <c r="B157" s="33"/>
      <c r="C157" s="34"/>
      <c r="D157" s="38"/>
      <c r="E157" s="33"/>
    </row>
    <row r="158" customFormat="false" ht="15" hidden="false" customHeight="false" outlineLevel="0" collapsed="false">
      <c r="A158" s="37"/>
      <c r="B158" s="33"/>
      <c r="C158" s="34"/>
      <c r="D158" s="38"/>
      <c r="E158" s="33"/>
    </row>
    <row r="159" customFormat="false" ht="15" hidden="false" customHeight="false" outlineLevel="0" collapsed="false">
      <c r="A159" s="37"/>
      <c r="B159" s="33"/>
      <c r="C159" s="34"/>
      <c r="D159" s="38"/>
      <c r="E159" s="33"/>
    </row>
    <row r="160" customFormat="false" ht="15" hidden="false" customHeight="false" outlineLevel="0" collapsed="false">
      <c r="A160" s="37"/>
      <c r="B160" s="33"/>
      <c r="C160" s="34"/>
      <c r="D160" s="38"/>
      <c r="E160" s="33"/>
    </row>
    <row r="161" customFormat="false" ht="15" hidden="false" customHeight="false" outlineLevel="0" collapsed="false">
      <c r="A161" s="37"/>
      <c r="B161" s="33"/>
      <c r="C161" s="34"/>
      <c r="D161" s="38"/>
      <c r="E161" s="33"/>
    </row>
    <row r="162" customFormat="false" ht="15" hidden="false" customHeight="false" outlineLevel="0" collapsed="false">
      <c r="A162" s="37"/>
      <c r="B162" s="33"/>
      <c r="C162" s="34"/>
      <c r="D162" s="38"/>
      <c r="E162" s="33"/>
    </row>
    <row r="163" customFormat="false" ht="15" hidden="false" customHeight="false" outlineLevel="0" collapsed="false">
      <c r="A163" s="37"/>
      <c r="B163" s="33"/>
      <c r="C163" s="34"/>
      <c r="D163" s="38"/>
      <c r="E163" s="33"/>
    </row>
    <row r="164" customFormat="false" ht="15" hidden="false" customHeight="false" outlineLevel="0" collapsed="false">
      <c r="A164" s="37"/>
      <c r="B164" s="33"/>
      <c r="C164" s="34"/>
      <c r="D164" s="38"/>
      <c r="E164" s="33"/>
    </row>
    <row r="165" customFormat="false" ht="15" hidden="false" customHeight="false" outlineLevel="0" collapsed="false">
      <c r="A165" s="37"/>
      <c r="B165" s="33"/>
      <c r="C165" s="34"/>
      <c r="D165" s="38"/>
      <c r="E165" s="33"/>
    </row>
    <row r="166" customFormat="false" ht="15" hidden="false" customHeight="false" outlineLevel="0" collapsed="false">
      <c r="A166" s="37"/>
      <c r="B166" s="33"/>
      <c r="C166" s="34"/>
      <c r="D166" s="38"/>
      <c r="E166" s="33"/>
    </row>
    <row r="167" customFormat="false" ht="15" hidden="false" customHeight="false" outlineLevel="0" collapsed="false">
      <c r="A167" s="37"/>
      <c r="B167" s="33"/>
      <c r="C167" s="34"/>
      <c r="D167" s="38"/>
      <c r="E167" s="33"/>
    </row>
    <row r="168" customFormat="false" ht="15" hidden="false" customHeight="false" outlineLevel="0" collapsed="false">
      <c r="A168" s="37"/>
      <c r="B168" s="33"/>
      <c r="C168" s="34"/>
      <c r="D168" s="38"/>
      <c r="E168" s="33"/>
    </row>
    <row r="169" customFormat="false" ht="15" hidden="false" customHeight="false" outlineLevel="0" collapsed="false">
      <c r="A169" s="37"/>
      <c r="B169" s="33"/>
      <c r="C169" s="34"/>
      <c r="D169" s="38"/>
      <c r="E169" s="33"/>
    </row>
    <row r="170" customFormat="false" ht="15" hidden="false" customHeight="false" outlineLevel="0" collapsed="false">
      <c r="A170" s="37"/>
      <c r="B170" s="33"/>
      <c r="C170" s="34"/>
      <c r="D170" s="38"/>
      <c r="E170" s="33"/>
    </row>
    <row r="171" customFormat="false" ht="15" hidden="false" customHeight="false" outlineLevel="0" collapsed="false">
      <c r="A171" s="37"/>
      <c r="B171" s="33"/>
      <c r="C171" s="34"/>
      <c r="D171" s="38"/>
      <c r="E171" s="33"/>
    </row>
    <row r="172" customFormat="false" ht="15" hidden="false" customHeight="false" outlineLevel="0" collapsed="false">
      <c r="A172" s="37"/>
      <c r="B172" s="33"/>
      <c r="C172" s="34"/>
      <c r="D172" s="38"/>
      <c r="E172" s="33"/>
    </row>
    <row r="173" customFormat="false" ht="15" hidden="false" customHeight="false" outlineLevel="0" collapsed="false">
      <c r="A173" s="37"/>
      <c r="B173" s="33"/>
      <c r="C173" s="34"/>
      <c r="D173" s="38"/>
      <c r="E173" s="33"/>
    </row>
    <row r="174" customFormat="false" ht="15" hidden="false" customHeight="false" outlineLevel="0" collapsed="false">
      <c r="A174" s="37"/>
      <c r="B174" s="33"/>
      <c r="C174" s="34"/>
      <c r="D174" s="38"/>
      <c r="E174" s="33"/>
    </row>
    <row r="175" customFormat="false" ht="15" hidden="false" customHeight="false" outlineLevel="0" collapsed="false">
      <c r="A175" s="37"/>
      <c r="B175" s="33"/>
      <c r="C175" s="34"/>
      <c r="D175" s="38"/>
      <c r="E175" s="33"/>
    </row>
    <row r="176" customFormat="false" ht="15" hidden="false" customHeight="false" outlineLevel="0" collapsed="false">
      <c r="A176" s="37"/>
      <c r="B176" s="33"/>
      <c r="C176" s="34"/>
      <c r="D176" s="38"/>
      <c r="E176" s="33"/>
    </row>
    <row r="177" customFormat="false" ht="15" hidden="false" customHeight="false" outlineLevel="0" collapsed="false">
      <c r="A177" s="37"/>
      <c r="B177" s="33"/>
      <c r="C177" s="34"/>
      <c r="D177" s="38"/>
      <c r="E177" s="33"/>
    </row>
    <row r="178" customFormat="false" ht="15" hidden="false" customHeight="false" outlineLevel="0" collapsed="false">
      <c r="A178" s="37"/>
      <c r="B178" s="33"/>
      <c r="C178" s="34"/>
      <c r="D178" s="38"/>
      <c r="E178" s="33"/>
    </row>
    <row r="179" customFormat="false" ht="15" hidden="false" customHeight="false" outlineLevel="0" collapsed="false">
      <c r="A179" s="37"/>
      <c r="B179" s="33"/>
      <c r="C179" s="34"/>
      <c r="D179" s="38"/>
      <c r="E179" s="33"/>
    </row>
    <row r="180" customFormat="false" ht="15" hidden="false" customHeight="false" outlineLevel="0" collapsed="false">
      <c r="A180" s="37"/>
      <c r="B180" s="33"/>
      <c r="C180" s="34"/>
      <c r="D180" s="38"/>
      <c r="E180" s="33"/>
    </row>
    <row r="181" customFormat="false" ht="15" hidden="false" customHeight="false" outlineLevel="0" collapsed="false">
      <c r="A181" s="37"/>
      <c r="B181" s="33"/>
      <c r="C181" s="34"/>
      <c r="D181" s="38"/>
      <c r="E181" s="33"/>
    </row>
    <row r="182" customFormat="false" ht="15" hidden="false" customHeight="false" outlineLevel="0" collapsed="false">
      <c r="A182" s="37"/>
      <c r="B182" s="33"/>
      <c r="C182" s="34"/>
      <c r="D182" s="38"/>
      <c r="E182" s="33"/>
    </row>
    <row r="183" customFormat="false" ht="15" hidden="false" customHeight="false" outlineLevel="0" collapsed="false">
      <c r="A183" s="37"/>
      <c r="B183" s="33"/>
      <c r="C183" s="34"/>
      <c r="D183" s="38"/>
      <c r="E183" s="33"/>
    </row>
    <row r="184" customFormat="false" ht="15" hidden="false" customHeight="false" outlineLevel="0" collapsed="false">
      <c r="A184" s="37"/>
      <c r="B184" s="33"/>
      <c r="C184" s="34"/>
      <c r="D184" s="38"/>
      <c r="E184" s="33"/>
    </row>
    <row r="185" customFormat="false" ht="15" hidden="false" customHeight="false" outlineLevel="0" collapsed="false">
      <c r="A185" s="37"/>
      <c r="B185" s="33"/>
      <c r="C185" s="34"/>
      <c r="D185" s="38"/>
      <c r="E185" s="33"/>
    </row>
    <row r="186" customFormat="false" ht="15" hidden="false" customHeight="false" outlineLevel="0" collapsed="false">
      <c r="A186" s="37"/>
      <c r="B186" s="33"/>
      <c r="C186" s="34"/>
      <c r="D186" s="38"/>
      <c r="E186" s="33"/>
    </row>
    <row r="187" customFormat="false" ht="15" hidden="false" customHeight="false" outlineLevel="0" collapsed="false">
      <c r="A187" s="37"/>
      <c r="B187" s="33"/>
      <c r="C187" s="34"/>
      <c r="D187" s="38"/>
      <c r="E187" s="33"/>
    </row>
    <row r="188" customFormat="false" ht="15" hidden="false" customHeight="false" outlineLevel="0" collapsed="false">
      <c r="A188" s="37"/>
      <c r="B188" s="33"/>
      <c r="C188" s="34"/>
      <c r="D188" s="38"/>
      <c r="E188" s="33"/>
    </row>
    <row r="189" customFormat="false" ht="15" hidden="false" customHeight="false" outlineLevel="0" collapsed="false">
      <c r="A189" s="37"/>
      <c r="B189" s="33"/>
      <c r="C189" s="34"/>
      <c r="D189" s="38"/>
      <c r="E189" s="33"/>
    </row>
    <row r="190" customFormat="false" ht="15" hidden="false" customHeight="false" outlineLevel="0" collapsed="false">
      <c r="A190" s="37"/>
      <c r="B190" s="33"/>
      <c r="C190" s="34"/>
      <c r="D190" s="38"/>
      <c r="E190" s="33"/>
    </row>
    <row r="191" customFormat="false" ht="15" hidden="false" customHeight="false" outlineLevel="0" collapsed="false">
      <c r="A191" s="37"/>
      <c r="B191" s="33"/>
      <c r="C191" s="34"/>
      <c r="D191" s="38"/>
      <c r="E191" s="33"/>
    </row>
    <row r="192" customFormat="false" ht="15" hidden="false" customHeight="false" outlineLevel="0" collapsed="false">
      <c r="A192" s="37"/>
      <c r="B192" s="33"/>
      <c r="C192" s="34"/>
      <c r="D192" s="38"/>
      <c r="E192" s="33"/>
    </row>
    <row r="193" customFormat="false" ht="15" hidden="false" customHeight="false" outlineLevel="0" collapsed="false">
      <c r="A193" s="37"/>
      <c r="B193" s="33"/>
      <c r="C193" s="34"/>
      <c r="D193" s="38"/>
      <c r="E193" s="33"/>
    </row>
    <row r="194" customFormat="false" ht="15" hidden="false" customHeight="false" outlineLevel="0" collapsed="false">
      <c r="A194" s="37"/>
      <c r="B194" s="33"/>
      <c r="C194" s="34"/>
      <c r="D194" s="38"/>
      <c r="E194" s="33"/>
    </row>
    <row r="195" customFormat="false" ht="15" hidden="false" customHeight="false" outlineLevel="0" collapsed="false">
      <c r="A195" s="37"/>
      <c r="B195" s="33"/>
      <c r="C195" s="34"/>
      <c r="D195" s="38"/>
      <c r="E195" s="33"/>
    </row>
    <row r="196" customFormat="false" ht="15" hidden="false" customHeight="false" outlineLevel="0" collapsed="false">
      <c r="A196" s="37"/>
      <c r="B196" s="33"/>
      <c r="C196" s="34"/>
      <c r="D196" s="38"/>
      <c r="E196" s="33"/>
    </row>
    <row r="197" customFormat="false" ht="15" hidden="false" customHeight="false" outlineLevel="0" collapsed="false">
      <c r="A197" s="37"/>
      <c r="B197" s="33"/>
      <c r="C197" s="34"/>
      <c r="D197" s="38"/>
      <c r="E197" s="33"/>
    </row>
    <row r="198" customFormat="false" ht="15" hidden="false" customHeight="false" outlineLevel="0" collapsed="false">
      <c r="A198" s="37"/>
      <c r="B198" s="33"/>
      <c r="C198" s="34"/>
      <c r="D198" s="38"/>
      <c r="E198" s="33"/>
    </row>
    <row r="199" customFormat="false" ht="15" hidden="false" customHeight="false" outlineLevel="0" collapsed="false">
      <c r="A199" s="37"/>
      <c r="B199" s="33"/>
      <c r="C199" s="34"/>
      <c r="D199" s="38"/>
      <c r="E199" s="33"/>
    </row>
    <row r="200" customFormat="false" ht="15" hidden="false" customHeight="false" outlineLevel="0" collapsed="false">
      <c r="A200" s="37"/>
      <c r="B200" s="33"/>
      <c r="C200" s="34"/>
      <c r="D200" s="38"/>
      <c r="E200" s="33"/>
    </row>
    <row r="201" customFormat="false" ht="15" hidden="false" customHeight="false" outlineLevel="0" collapsed="false">
      <c r="A201" s="37"/>
      <c r="B201" s="33"/>
      <c r="C201" s="34"/>
      <c r="D201" s="38"/>
      <c r="E201" s="33"/>
    </row>
    <row r="202" customFormat="false" ht="15" hidden="false" customHeight="false" outlineLevel="0" collapsed="false">
      <c r="A202" s="37"/>
      <c r="B202" s="33"/>
      <c r="C202" s="34"/>
      <c r="D202" s="38"/>
      <c r="E202" s="33"/>
    </row>
    <row r="203" customFormat="false" ht="15" hidden="false" customHeight="false" outlineLevel="0" collapsed="false">
      <c r="A203" s="37"/>
      <c r="B203" s="33"/>
      <c r="C203" s="34"/>
      <c r="D203" s="38"/>
      <c r="E203" s="33"/>
    </row>
    <row r="204" customFormat="false" ht="15" hidden="false" customHeight="false" outlineLevel="0" collapsed="false">
      <c r="A204" s="37"/>
      <c r="B204" s="33"/>
      <c r="C204" s="34"/>
      <c r="D204" s="38"/>
      <c r="E204" s="33"/>
    </row>
    <row r="205" customFormat="false" ht="15" hidden="false" customHeight="false" outlineLevel="0" collapsed="false">
      <c r="A205" s="37"/>
      <c r="B205" s="33"/>
      <c r="C205" s="34"/>
      <c r="D205" s="38"/>
      <c r="E205" s="33"/>
    </row>
    <row r="206" customFormat="false" ht="15" hidden="false" customHeight="false" outlineLevel="0" collapsed="false">
      <c r="A206" s="37"/>
      <c r="B206" s="33"/>
      <c r="C206" s="34"/>
      <c r="D206" s="38"/>
      <c r="E206" s="33"/>
    </row>
    <row r="207" customFormat="false" ht="15" hidden="false" customHeight="false" outlineLevel="0" collapsed="false">
      <c r="A207" s="37"/>
      <c r="B207" s="33"/>
      <c r="C207" s="34"/>
      <c r="D207" s="38"/>
      <c r="E207" s="33"/>
    </row>
    <row r="208" customFormat="false" ht="15" hidden="false" customHeight="false" outlineLevel="0" collapsed="false">
      <c r="A208" s="37"/>
      <c r="B208" s="33"/>
      <c r="C208" s="34"/>
      <c r="D208" s="38"/>
      <c r="E208" s="33"/>
    </row>
    <row r="209" customFormat="false" ht="15" hidden="false" customHeight="false" outlineLevel="0" collapsed="false">
      <c r="A209" s="37"/>
      <c r="B209" s="33"/>
      <c r="C209" s="34"/>
      <c r="D209" s="38"/>
      <c r="E209" s="33"/>
    </row>
    <row r="210" customFormat="false" ht="15" hidden="false" customHeight="false" outlineLevel="0" collapsed="false">
      <c r="A210" s="37"/>
      <c r="B210" s="33"/>
      <c r="C210" s="34"/>
      <c r="D210" s="38"/>
      <c r="E210" s="33"/>
    </row>
    <row r="211" customFormat="false" ht="15" hidden="false" customHeight="false" outlineLevel="0" collapsed="false">
      <c r="A211" s="37"/>
      <c r="B211" s="33"/>
      <c r="C211" s="34"/>
      <c r="D211" s="38"/>
      <c r="E211" s="33"/>
    </row>
    <row r="212" customFormat="false" ht="15" hidden="false" customHeight="false" outlineLevel="0" collapsed="false">
      <c r="A212" s="37"/>
      <c r="B212" s="33"/>
      <c r="C212" s="34"/>
      <c r="D212" s="38"/>
      <c r="E212" s="33"/>
    </row>
    <row r="213" customFormat="false" ht="15" hidden="false" customHeight="false" outlineLevel="0" collapsed="false">
      <c r="A213" s="37"/>
      <c r="B213" s="33"/>
      <c r="C213" s="34"/>
      <c r="D213" s="38"/>
      <c r="E213" s="33"/>
    </row>
    <row r="214" customFormat="false" ht="15" hidden="false" customHeight="false" outlineLevel="0" collapsed="false">
      <c r="A214" s="37"/>
      <c r="B214" s="33"/>
      <c r="C214" s="34"/>
      <c r="D214" s="38"/>
      <c r="E214" s="33"/>
    </row>
    <row r="215" customFormat="false" ht="15" hidden="false" customHeight="false" outlineLevel="0" collapsed="false">
      <c r="A215" s="37"/>
      <c r="B215" s="33"/>
      <c r="C215" s="34"/>
      <c r="D215" s="38"/>
      <c r="E215" s="33"/>
    </row>
    <row r="216" customFormat="false" ht="15" hidden="false" customHeight="false" outlineLevel="0" collapsed="false">
      <c r="A216" s="37"/>
      <c r="B216" s="33"/>
      <c r="C216" s="34"/>
      <c r="D216" s="38"/>
      <c r="E216" s="33"/>
    </row>
    <row r="217" customFormat="false" ht="15" hidden="false" customHeight="false" outlineLevel="0" collapsed="false">
      <c r="A217" s="37"/>
      <c r="B217" s="33"/>
      <c r="C217" s="34"/>
      <c r="D217" s="38"/>
      <c r="E217" s="33"/>
    </row>
    <row r="218" customFormat="false" ht="15" hidden="false" customHeight="false" outlineLevel="0" collapsed="false">
      <c r="A218" s="37"/>
      <c r="B218" s="33"/>
      <c r="C218" s="34"/>
      <c r="D218" s="38"/>
      <c r="E218" s="33"/>
    </row>
    <row r="219" customFormat="false" ht="15" hidden="false" customHeight="false" outlineLevel="0" collapsed="false">
      <c r="A219" s="37"/>
      <c r="B219" s="33"/>
      <c r="C219" s="34"/>
      <c r="D219" s="38"/>
      <c r="E219" s="33"/>
    </row>
    <row r="220" customFormat="false" ht="15" hidden="false" customHeight="false" outlineLevel="0" collapsed="false">
      <c r="A220" s="37"/>
      <c r="B220" s="33"/>
      <c r="C220" s="34"/>
      <c r="D220" s="38"/>
      <c r="E220" s="33"/>
    </row>
    <row r="221" customFormat="false" ht="15" hidden="false" customHeight="false" outlineLevel="0" collapsed="false">
      <c r="A221" s="37"/>
      <c r="B221" s="33"/>
      <c r="C221" s="34"/>
      <c r="D221" s="38"/>
      <c r="E221" s="33"/>
    </row>
    <row r="222" customFormat="false" ht="15" hidden="false" customHeight="false" outlineLevel="0" collapsed="false">
      <c r="A222" s="37"/>
      <c r="B222" s="33"/>
      <c r="C222" s="34"/>
      <c r="D222" s="38"/>
      <c r="E222" s="33"/>
    </row>
    <row r="223" customFormat="false" ht="15" hidden="false" customHeight="false" outlineLevel="0" collapsed="false">
      <c r="A223" s="37"/>
      <c r="B223" s="33"/>
      <c r="C223" s="34"/>
      <c r="D223" s="38"/>
      <c r="E223" s="33"/>
    </row>
    <row r="224" customFormat="false" ht="15" hidden="false" customHeight="false" outlineLevel="0" collapsed="false">
      <c r="A224" s="37"/>
      <c r="B224" s="33"/>
      <c r="C224" s="34"/>
      <c r="D224" s="38"/>
      <c r="E224" s="33"/>
    </row>
    <row r="225" customFormat="false" ht="15" hidden="false" customHeight="false" outlineLevel="0" collapsed="false">
      <c r="A225" s="37"/>
      <c r="B225" s="33"/>
      <c r="C225" s="34"/>
      <c r="D225" s="38"/>
      <c r="E225" s="33"/>
    </row>
    <row r="226" customFormat="false" ht="15" hidden="false" customHeight="false" outlineLevel="0" collapsed="false">
      <c r="A226" s="37"/>
      <c r="B226" s="33"/>
      <c r="C226" s="34"/>
      <c r="D226" s="38"/>
      <c r="E226" s="33"/>
    </row>
    <row r="227" customFormat="false" ht="15" hidden="false" customHeight="false" outlineLevel="0" collapsed="false">
      <c r="A227" s="37"/>
      <c r="B227" s="33"/>
      <c r="C227" s="34"/>
      <c r="D227" s="38"/>
      <c r="E227" s="33"/>
    </row>
    <row r="228" customFormat="false" ht="15" hidden="false" customHeight="false" outlineLevel="0" collapsed="false">
      <c r="A228" s="37"/>
      <c r="B228" s="33"/>
      <c r="C228" s="34"/>
      <c r="D228" s="38"/>
      <c r="E228" s="33"/>
    </row>
    <row r="229" customFormat="false" ht="15" hidden="false" customHeight="false" outlineLevel="0" collapsed="false">
      <c r="A229" s="37"/>
      <c r="B229" s="33"/>
      <c r="C229" s="34"/>
      <c r="D229" s="38"/>
      <c r="E229" s="33"/>
    </row>
    <row r="230" customFormat="false" ht="15" hidden="false" customHeight="false" outlineLevel="0" collapsed="false">
      <c r="A230" s="37"/>
      <c r="B230" s="33"/>
      <c r="C230" s="34"/>
      <c r="D230" s="38"/>
      <c r="E230" s="33"/>
    </row>
    <row r="231" customFormat="false" ht="15" hidden="false" customHeight="false" outlineLevel="0" collapsed="false">
      <c r="A231" s="37"/>
      <c r="B231" s="33"/>
      <c r="C231" s="34"/>
      <c r="D231" s="38"/>
      <c r="E231" s="33"/>
    </row>
    <row r="232" customFormat="false" ht="15" hidden="false" customHeight="false" outlineLevel="0" collapsed="false">
      <c r="A232" s="37"/>
      <c r="B232" s="33"/>
      <c r="C232" s="34"/>
      <c r="D232" s="38"/>
      <c r="E232" s="33"/>
    </row>
    <row r="233" customFormat="false" ht="15" hidden="false" customHeight="false" outlineLevel="0" collapsed="false">
      <c r="A233" s="37"/>
      <c r="B233" s="33"/>
      <c r="C233" s="34"/>
      <c r="D233" s="38"/>
      <c r="E233" s="33"/>
    </row>
    <row r="234" customFormat="false" ht="15" hidden="false" customHeight="false" outlineLevel="0" collapsed="false">
      <c r="A234" s="37"/>
      <c r="B234" s="33"/>
      <c r="C234" s="34"/>
      <c r="D234" s="38"/>
      <c r="E234" s="33"/>
    </row>
    <row r="235" customFormat="false" ht="15" hidden="false" customHeight="false" outlineLevel="0" collapsed="false">
      <c r="A235" s="37"/>
      <c r="B235" s="33"/>
      <c r="C235" s="34"/>
      <c r="D235" s="38"/>
      <c r="E235" s="33"/>
    </row>
    <row r="236" customFormat="false" ht="15" hidden="false" customHeight="false" outlineLevel="0" collapsed="false">
      <c r="A236" s="37"/>
      <c r="B236" s="33"/>
      <c r="C236" s="34"/>
      <c r="D236" s="38"/>
      <c r="E236" s="33"/>
    </row>
    <row r="237" customFormat="false" ht="15" hidden="false" customHeight="false" outlineLevel="0" collapsed="false">
      <c r="A237" s="37"/>
      <c r="B237" s="33"/>
      <c r="C237" s="34"/>
      <c r="D237" s="38"/>
      <c r="E237" s="33"/>
    </row>
    <row r="238" customFormat="false" ht="15" hidden="false" customHeight="false" outlineLevel="0" collapsed="false">
      <c r="A238" s="37"/>
      <c r="B238" s="33"/>
      <c r="C238" s="34"/>
      <c r="D238" s="38"/>
      <c r="E238" s="33"/>
    </row>
    <row r="239" customFormat="false" ht="15" hidden="false" customHeight="false" outlineLevel="0" collapsed="false">
      <c r="A239" s="37"/>
      <c r="B239" s="33"/>
      <c r="C239" s="34"/>
      <c r="D239" s="38"/>
      <c r="E239" s="33"/>
    </row>
    <row r="240" customFormat="false" ht="15" hidden="false" customHeight="false" outlineLevel="0" collapsed="false">
      <c r="A240" s="37"/>
      <c r="B240" s="33"/>
      <c r="C240" s="34"/>
      <c r="D240" s="38"/>
      <c r="E240" s="33"/>
    </row>
    <row r="241" customFormat="false" ht="15" hidden="false" customHeight="false" outlineLevel="0" collapsed="false">
      <c r="A241" s="37"/>
      <c r="B241" s="33"/>
      <c r="C241" s="34"/>
      <c r="D241" s="38"/>
      <c r="E241" s="33"/>
    </row>
    <row r="242" customFormat="false" ht="15" hidden="false" customHeight="false" outlineLevel="0" collapsed="false">
      <c r="A242" s="37"/>
      <c r="B242" s="33"/>
      <c r="C242" s="34"/>
      <c r="D242" s="38"/>
      <c r="E242" s="33"/>
    </row>
    <row r="243" customFormat="false" ht="15" hidden="false" customHeight="false" outlineLevel="0" collapsed="false">
      <c r="A243" s="37"/>
      <c r="B243" s="33"/>
      <c r="C243" s="34"/>
      <c r="D243" s="38"/>
      <c r="E243" s="33"/>
    </row>
    <row r="244" customFormat="false" ht="15" hidden="false" customHeight="false" outlineLevel="0" collapsed="false">
      <c r="A244" s="37"/>
      <c r="B244" s="33"/>
      <c r="C244" s="34"/>
      <c r="D244" s="38"/>
      <c r="E244" s="33"/>
    </row>
    <row r="245" customFormat="false" ht="15" hidden="false" customHeight="false" outlineLevel="0" collapsed="false">
      <c r="A245" s="37"/>
      <c r="B245" s="33"/>
      <c r="C245" s="34"/>
      <c r="D245" s="38"/>
      <c r="E245" s="33"/>
    </row>
    <row r="246" customFormat="false" ht="15" hidden="false" customHeight="false" outlineLevel="0" collapsed="false">
      <c r="A246" s="37"/>
      <c r="B246" s="33"/>
      <c r="C246" s="34"/>
      <c r="D246" s="38"/>
      <c r="E246" s="33"/>
    </row>
    <row r="247" customFormat="false" ht="15" hidden="false" customHeight="false" outlineLevel="0" collapsed="false">
      <c r="A247" s="37"/>
      <c r="B247" s="33"/>
      <c r="C247" s="34"/>
      <c r="D247" s="38"/>
      <c r="E247" s="33"/>
    </row>
    <row r="248" customFormat="false" ht="15" hidden="false" customHeight="false" outlineLevel="0" collapsed="false">
      <c r="A248" s="37"/>
      <c r="B248" s="33"/>
      <c r="C248" s="34"/>
      <c r="D248" s="38"/>
      <c r="E248" s="33"/>
    </row>
    <row r="249" customFormat="false" ht="15" hidden="false" customHeight="false" outlineLevel="0" collapsed="false">
      <c r="A249" s="37"/>
      <c r="B249" s="33"/>
      <c r="C249" s="34"/>
      <c r="D249" s="38"/>
      <c r="E249" s="33"/>
    </row>
    <row r="250" customFormat="false" ht="15" hidden="false" customHeight="false" outlineLevel="0" collapsed="false">
      <c r="A250" s="37"/>
      <c r="B250" s="33"/>
      <c r="C250" s="34"/>
      <c r="D250" s="38"/>
      <c r="E250" s="33"/>
    </row>
    <row r="251" customFormat="false" ht="15" hidden="false" customHeight="false" outlineLevel="0" collapsed="false">
      <c r="A251" s="37"/>
      <c r="B251" s="33"/>
      <c r="C251" s="34"/>
      <c r="D251" s="38"/>
      <c r="E251" s="33"/>
    </row>
    <row r="252" customFormat="false" ht="15" hidden="false" customHeight="false" outlineLevel="0" collapsed="false">
      <c r="A252" s="37"/>
      <c r="B252" s="33"/>
      <c r="C252" s="34"/>
      <c r="D252" s="38"/>
      <c r="E252" s="33"/>
    </row>
    <row r="253" customFormat="false" ht="15" hidden="false" customHeight="false" outlineLevel="0" collapsed="false">
      <c r="A253" s="37"/>
      <c r="B253" s="33"/>
      <c r="C253" s="34"/>
      <c r="D253" s="38"/>
      <c r="E253" s="33"/>
    </row>
    <row r="254" customFormat="false" ht="15" hidden="false" customHeight="false" outlineLevel="0" collapsed="false">
      <c r="A254" s="37"/>
      <c r="B254" s="33"/>
      <c r="C254" s="34"/>
      <c r="D254" s="38"/>
      <c r="E254" s="33"/>
    </row>
    <row r="255" customFormat="false" ht="15" hidden="false" customHeight="false" outlineLevel="0" collapsed="false">
      <c r="A255" s="37"/>
      <c r="B255" s="33"/>
      <c r="C255" s="34"/>
      <c r="D255" s="38"/>
      <c r="E255" s="33"/>
    </row>
    <row r="256" customFormat="false" ht="15" hidden="false" customHeight="false" outlineLevel="0" collapsed="false">
      <c r="A256" s="37"/>
      <c r="B256" s="33"/>
      <c r="C256" s="34"/>
      <c r="D256" s="38"/>
      <c r="E256" s="33"/>
    </row>
    <row r="257" customFormat="false" ht="15" hidden="false" customHeight="false" outlineLevel="0" collapsed="false">
      <c r="A257" s="37"/>
      <c r="B257" s="33"/>
      <c r="C257" s="34"/>
      <c r="D257" s="38"/>
      <c r="E257" s="33"/>
    </row>
    <row r="258" customFormat="false" ht="15" hidden="false" customHeight="false" outlineLevel="0" collapsed="false">
      <c r="A258" s="37"/>
      <c r="B258" s="33"/>
      <c r="C258" s="34"/>
      <c r="D258" s="38"/>
      <c r="E258" s="33"/>
    </row>
    <row r="259" customFormat="false" ht="15" hidden="false" customHeight="false" outlineLevel="0" collapsed="false">
      <c r="A259" s="37"/>
      <c r="B259" s="33"/>
      <c r="C259" s="34"/>
      <c r="D259" s="38"/>
      <c r="E259" s="33"/>
    </row>
    <row r="260" customFormat="false" ht="15" hidden="false" customHeight="false" outlineLevel="0" collapsed="false">
      <c r="A260" s="37"/>
      <c r="B260" s="33"/>
      <c r="C260" s="34"/>
      <c r="D260" s="38"/>
      <c r="E260" s="33"/>
    </row>
    <row r="261" customFormat="false" ht="15" hidden="false" customHeight="false" outlineLevel="0" collapsed="false">
      <c r="A261" s="37"/>
      <c r="B261" s="33"/>
      <c r="C261" s="34"/>
      <c r="D261" s="38"/>
      <c r="E261" s="33"/>
    </row>
    <row r="262" customFormat="false" ht="15" hidden="false" customHeight="false" outlineLevel="0" collapsed="false">
      <c r="A262" s="37"/>
      <c r="B262" s="33"/>
      <c r="C262" s="34"/>
      <c r="D262" s="38"/>
      <c r="E262" s="33"/>
    </row>
    <row r="263" customFormat="false" ht="15" hidden="false" customHeight="false" outlineLevel="0" collapsed="false">
      <c r="A263" s="37"/>
      <c r="B263" s="33"/>
      <c r="C263" s="34"/>
      <c r="D263" s="38"/>
      <c r="E263" s="33"/>
    </row>
    <row r="264" customFormat="false" ht="15" hidden="false" customHeight="false" outlineLevel="0" collapsed="false">
      <c r="A264" s="37"/>
      <c r="B264" s="33"/>
      <c r="C264" s="34"/>
      <c r="D264" s="38"/>
      <c r="E264" s="33"/>
    </row>
    <row r="265" customFormat="false" ht="15" hidden="false" customHeight="false" outlineLevel="0" collapsed="false">
      <c r="A265" s="37"/>
      <c r="B265" s="33"/>
      <c r="C265" s="34"/>
      <c r="D265" s="38"/>
      <c r="E265" s="33"/>
    </row>
    <row r="266" customFormat="false" ht="15" hidden="false" customHeight="false" outlineLevel="0" collapsed="false">
      <c r="A266" s="37"/>
      <c r="B266" s="33"/>
      <c r="C266" s="34"/>
      <c r="D266" s="38"/>
      <c r="E266" s="33"/>
    </row>
    <row r="267" customFormat="false" ht="15" hidden="false" customHeight="false" outlineLevel="0" collapsed="false">
      <c r="A267" s="37"/>
      <c r="B267" s="33"/>
      <c r="C267" s="34"/>
      <c r="D267" s="38"/>
      <c r="E267" s="33"/>
    </row>
    <row r="268" customFormat="false" ht="15" hidden="false" customHeight="false" outlineLevel="0" collapsed="false">
      <c r="A268" s="37"/>
      <c r="B268" s="33"/>
      <c r="C268" s="34"/>
      <c r="D268" s="38"/>
      <c r="E268" s="33"/>
    </row>
    <row r="269" customFormat="false" ht="15" hidden="false" customHeight="false" outlineLevel="0" collapsed="false">
      <c r="A269" s="37"/>
      <c r="B269" s="33"/>
      <c r="C269" s="34"/>
      <c r="D269" s="38"/>
      <c r="E269" s="33"/>
    </row>
    <row r="270" customFormat="false" ht="15" hidden="false" customHeight="false" outlineLevel="0" collapsed="false">
      <c r="A270" s="37"/>
      <c r="B270" s="33"/>
      <c r="C270" s="34"/>
      <c r="D270" s="38"/>
      <c r="E270" s="33"/>
    </row>
    <row r="271" customFormat="false" ht="15" hidden="false" customHeight="false" outlineLevel="0" collapsed="false">
      <c r="A271" s="37"/>
      <c r="B271" s="33"/>
      <c r="C271" s="34"/>
      <c r="D271" s="38"/>
      <c r="E271" s="33"/>
    </row>
    <row r="272" customFormat="false" ht="15" hidden="false" customHeight="false" outlineLevel="0" collapsed="false">
      <c r="A272" s="37"/>
      <c r="B272" s="33"/>
      <c r="C272" s="34"/>
      <c r="D272" s="38"/>
      <c r="E272" s="33"/>
    </row>
    <row r="273" customFormat="false" ht="15" hidden="false" customHeight="false" outlineLevel="0" collapsed="false">
      <c r="A273" s="37"/>
      <c r="B273" s="33"/>
      <c r="C273" s="34"/>
      <c r="D273" s="38"/>
      <c r="E273" s="33"/>
    </row>
    <row r="274" customFormat="false" ht="15" hidden="false" customHeight="false" outlineLevel="0" collapsed="false">
      <c r="A274" s="37"/>
      <c r="B274" s="33"/>
      <c r="C274" s="34"/>
      <c r="D274" s="38"/>
      <c r="E274" s="33"/>
    </row>
    <row r="275" customFormat="false" ht="15" hidden="false" customHeight="false" outlineLevel="0" collapsed="false">
      <c r="A275" s="37"/>
      <c r="B275" s="33"/>
      <c r="C275" s="34"/>
      <c r="D275" s="38"/>
      <c r="E275" s="33"/>
    </row>
    <row r="276" customFormat="false" ht="15" hidden="false" customHeight="false" outlineLevel="0" collapsed="false">
      <c r="A276" s="37"/>
      <c r="B276" s="33"/>
      <c r="C276" s="34"/>
      <c r="D276" s="38"/>
      <c r="E276" s="33"/>
    </row>
    <row r="277" customFormat="false" ht="15" hidden="false" customHeight="false" outlineLevel="0" collapsed="false">
      <c r="A277" s="37"/>
      <c r="B277" s="33"/>
      <c r="C277" s="34"/>
      <c r="D277" s="38"/>
      <c r="E277" s="33"/>
    </row>
    <row r="278" customFormat="false" ht="15" hidden="false" customHeight="false" outlineLevel="0" collapsed="false">
      <c r="A278" s="37"/>
      <c r="B278" s="33"/>
      <c r="C278" s="34"/>
      <c r="D278" s="38"/>
      <c r="E278" s="33"/>
    </row>
    <row r="279" customFormat="false" ht="15" hidden="false" customHeight="false" outlineLevel="0" collapsed="false">
      <c r="A279" s="37"/>
      <c r="B279" s="33"/>
      <c r="C279" s="34"/>
      <c r="D279" s="38"/>
      <c r="E279" s="33"/>
    </row>
    <row r="280" customFormat="false" ht="15" hidden="false" customHeight="false" outlineLevel="0" collapsed="false">
      <c r="A280" s="37"/>
      <c r="B280" s="33"/>
      <c r="C280" s="34"/>
      <c r="D280" s="38"/>
      <c r="E280" s="33"/>
    </row>
    <row r="281" customFormat="false" ht="15" hidden="false" customHeight="false" outlineLevel="0" collapsed="false">
      <c r="A281" s="37"/>
      <c r="B281" s="33"/>
      <c r="C281" s="34"/>
      <c r="D281" s="38"/>
      <c r="E281" s="33"/>
    </row>
    <row r="282" customFormat="false" ht="15" hidden="false" customHeight="false" outlineLevel="0" collapsed="false">
      <c r="A282" s="37"/>
      <c r="B282" s="33"/>
      <c r="C282" s="34"/>
      <c r="D282" s="38"/>
      <c r="E282" s="33"/>
    </row>
    <row r="283" customFormat="false" ht="15" hidden="false" customHeight="false" outlineLevel="0" collapsed="false">
      <c r="A283" s="37"/>
      <c r="B283" s="33"/>
      <c r="C283" s="34"/>
      <c r="D283" s="38"/>
      <c r="E283" s="33"/>
    </row>
    <row r="284" customFormat="false" ht="15" hidden="false" customHeight="false" outlineLevel="0" collapsed="false">
      <c r="A284" s="37"/>
      <c r="B284" s="33"/>
      <c r="C284" s="34"/>
      <c r="D284" s="38"/>
      <c r="E284" s="33"/>
    </row>
    <row r="285" customFormat="false" ht="15" hidden="false" customHeight="false" outlineLevel="0" collapsed="false">
      <c r="A285" s="37"/>
      <c r="B285" s="33"/>
      <c r="C285" s="34"/>
      <c r="D285" s="38"/>
      <c r="E285" s="33"/>
    </row>
    <row r="286" customFormat="false" ht="15" hidden="false" customHeight="false" outlineLevel="0" collapsed="false">
      <c r="A286" s="37"/>
      <c r="B286" s="33"/>
      <c r="C286" s="34"/>
      <c r="D286" s="38"/>
      <c r="E286" s="33"/>
    </row>
    <row r="287" customFormat="false" ht="15" hidden="false" customHeight="false" outlineLevel="0" collapsed="false">
      <c r="A287" s="37"/>
      <c r="B287" s="33"/>
      <c r="C287" s="34"/>
      <c r="D287" s="38"/>
      <c r="E287" s="33"/>
    </row>
    <row r="288" customFormat="false" ht="15" hidden="false" customHeight="false" outlineLevel="0" collapsed="false">
      <c r="A288" s="37"/>
      <c r="B288" s="33"/>
      <c r="C288" s="34"/>
      <c r="D288" s="38"/>
      <c r="E288" s="33"/>
    </row>
    <row r="289" customFormat="false" ht="15" hidden="false" customHeight="false" outlineLevel="0" collapsed="false">
      <c r="A289" s="37"/>
      <c r="B289" s="33"/>
      <c r="C289" s="34"/>
      <c r="D289" s="38"/>
      <c r="E289" s="33"/>
    </row>
    <row r="290" customFormat="false" ht="15" hidden="false" customHeight="false" outlineLevel="0" collapsed="false">
      <c r="A290" s="37"/>
      <c r="B290" s="33"/>
      <c r="C290" s="34"/>
      <c r="D290" s="38"/>
      <c r="E290" s="33"/>
    </row>
    <row r="291" customFormat="false" ht="15" hidden="false" customHeight="false" outlineLevel="0" collapsed="false">
      <c r="A291" s="37"/>
      <c r="B291" s="33"/>
      <c r="C291" s="34"/>
      <c r="D291" s="38"/>
      <c r="E291" s="33"/>
    </row>
    <row r="292" customFormat="false" ht="15" hidden="false" customHeight="false" outlineLevel="0" collapsed="false">
      <c r="A292" s="37"/>
      <c r="B292" s="33"/>
      <c r="C292" s="34"/>
      <c r="D292" s="38"/>
      <c r="E292" s="33"/>
    </row>
    <row r="293" customFormat="false" ht="15" hidden="false" customHeight="false" outlineLevel="0" collapsed="false">
      <c r="A293" s="37"/>
      <c r="B293" s="33"/>
      <c r="C293" s="34"/>
      <c r="D293" s="38"/>
      <c r="E293" s="33"/>
    </row>
    <row r="294" customFormat="false" ht="15" hidden="false" customHeight="false" outlineLevel="0" collapsed="false">
      <c r="A294" s="37"/>
      <c r="B294" s="33"/>
      <c r="C294" s="34"/>
      <c r="D294" s="38"/>
      <c r="E294" s="33"/>
    </row>
    <row r="295" customFormat="false" ht="15" hidden="false" customHeight="false" outlineLevel="0" collapsed="false">
      <c r="A295" s="37"/>
      <c r="B295" s="33"/>
      <c r="C295" s="34"/>
      <c r="D295" s="38"/>
      <c r="E295" s="33"/>
    </row>
    <row r="296" customFormat="false" ht="15" hidden="false" customHeight="false" outlineLevel="0" collapsed="false">
      <c r="A296" s="37"/>
      <c r="B296" s="33"/>
      <c r="C296" s="34"/>
      <c r="D296" s="38"/>
      <c r="E296" s="33"/>
    </row>
    <row r="297" customFormat="false" ht="15" hidden="false" customHeight="false" outlineLevel="0" collapsed="false">
      <c r="A297" s="37"/>
      <c r="B297" s="33"/>
      <c r="C297" s="34"/>
      <c r="D297" s="38"/>
      <c r="E297" s="33"/>
    </row>
    <row r="298" customFormat="false" ht="15" hidden="false" customHeight="false" outlineLevel="0" collapsed="false">
      <c r="A298" s="37"/>
      <c r="B298" s="33"/>
      <c r="C298" s="34"/>
      <c r="D298" s="38"/>
      <c r="E298" s="33"/>
    </row>
    <row r="299" customFormat="false" ht="15" hidden="false" customHeight="false" outlineLevel="0" collapsed="false">
      <c r="A299" s="37"/>
      <c r="B299" s="33"/>
      <c r="C299" s="34"/>
      <c r="D299" s="38"/>
      <c r="E299" s="33"/>
    </row>
    <row r="300" customFormat="false" ht="15" hidden="false" customHeight="false" outlineLevel="0" collapsed="false">
      <c r="A300" s="37"/>
      <c r="B300" s="33"/>
      <c r="C300" s="34"/>
      <c r="D300" s="38"/>
      <c r="E300" s="33"/>
    </row>
    <row r="301" customFormat="false" ht="15" hidden="false" customHeight="false" outlineLevel="0" collapsed="false">
      <c r="A301" s="37"/>
      <c r="B301" s="33"/>
      <c r="C301" s="34"/>
      <c r="D301" s="38"/>
      <c r="E301" s="33"/>
    </row>
    <row r="302" customFormat="false" ht="15" hidden="false" customHeight="false" outlineLevel="0" collapsed="false">
      <c r="A302" s="37"/>
      <c r="B302" s="33"/>
      <c r="C302" s="34"/>
      <c r="D302" s="38"/>
      <c r="E302" s="33"/>
    </row>
    <row r="303" customFormat="false" ht="15" hidden="false" customHeight="false" outlineLevel="0" collapsed="false">
      <c r="A303" s="37"/>
      <c r="B303" s="33"/>
      <c r="C303" s="34"/>
      <c r="D303" s="38"/>
      <c r="E303" s="33"/>
    </row>
    <row r="304" customFormat="false" ht="15" hidden="false" customHeight="false" outlineLevel="0" collapsed="false">
      <c r="A304" s="37"/>
      <c r="B304" s="33"/>
      <c r="C304" s="34"/>
      <c r="D304" s="38"/>
      <c r="E304" s="33"/>
    </row>
    <row r="305" customFormat="false" ht="15" hidden="false" customHeight="false" outlineLevel="0" collapsed="false">
      <c r="A305" s="37"/>
      <c r="B305" s="33"/>
      <c r="C305" s="34"/>
      <c r="D305" s="38"/>
      <c r="E305" s="33"/>
    </row>
    <row r="306" customFormat="false" ht="15" hidden="false" customHeight="false" outlineLevel="0" collapsed="false">
      <c r="A306" s="37"/>
      <c r="B306" s="33"/>
      <c r="C306" s="34"/>
      <c r="D306" s="38"/>
      <c r="E306" s="33"/>
    </row>
    <row r="307" customFormat="false" ht="15" hidden="false" customHeight="false" outlineLevel="0" collapsed="false">
      <c r="A307" s="37"/>
      <c r="B307" s="33"/>
      <c r="C307" s="34"/>
      <c r="D307" s="38"/>
      <c r="E307" s="33"/>
    </row>
    <row r="308" customFormat="false" ht="15" hidden="false" customHeight="false" outlineLevel="0" collapsed="false">
      <c r="A308" s="37"/>
      <c r="B308" s="33"/>
      <c r="C308" s="34"/>
      <c r="D308" s="38"/>
      <c r="E308" s="33"/>
    </row>
    <row r="309" customFormat="false" ht="15" hidden="false" customHeight="false" outlineLevel="0" collapsed="false">
      <c r="A309" s="37"/>
      <c r="B309" s="33"/>
      <c r="C309" s="34"/>
      <c r="D309" s="38"/>
      <c r="E309" s="33"/>
    </row>
    <row r="310" customFormat="false" ht="15" hidden="false" customHeight="false" outlineLevel="0" collapsed="false">
      <c r="A310" s="37"/>
      <c r="B310" s="33"/>
      <c r="C310" s="34"/>
      <c r="D310" s="38"/>
      <c r="E310" s="33"/>
    </row>
    <row r="311" customFormat="false" ht="15" hidden="false" customHeight="false" outlineLevel="0" collapsed="false">
      <c r="A311" s="37"/>
      <c r="B311" s="33"/>
      <c r="C311" s="34"/>
      <c r="D311" s="38"/>
      <c r="E311" s="33"/>
    </row>
    <row r="312" customFormat="false" ht="15" hidden="false" customHeight="false" outlineLevel="0" collapsed="false">
      <c r="A312" s="37"/>
      <c r="B312" s="33"/>
      <c r="C312" s="34"/>
      <c r="D312" s="38"/>
      <c r="E312" s="33"/>
    </row>
    <row r="313" customFormat="false" ht="15" hidden="false" customHeight="false" outlineLevel="0" collapsed="false">
      <c r="A313" s="37"/>
      <c r="B313" s="33"/>
      <c r="C313" s="34"/>
      <c r="D313" s="38"/>
      <c r="E313" s="33"/>
    </row>
    <row r="314" customFormat="false" ht="15" hidden="false" customHeight="false" outlineLevel="0" collapsed="false">
      <c r="A314" s="37"/>
      <c r="B314" s="33"/>
      <c r="C314" s="34"/>
      <c r="D314" s="38"/>
      <c r="E314" s="33"/>
    </row>
    <row r="315" customFormat="false" ht="15" hidden="false" customHeight="false" outlineLevel="0" collapsed="false">
      <c r="A315" s="37"/>
      <c r="B315" s="33"/>
      <c r="C315" s="34"/>
      <c r="D315" s="38"/>
      <c r="E315" s="33"/>
    </row>
    <row r="316" customFormat="false" ht="15" hidden="false" customHeight="false" outlineLevel="0" collapsed="false">
      <c r="A316" s="37"/>
      <c r="B316" s="33"/>
      <c r="C316" s="34"/>
      <c r="D316" s="38"/>
      <c r="E316" s="33"/>
    </row>
    <row r="317" customFormat="false" ht="15" hidden="false" customHeight="false" outlineLevel="0" collapsed="false">
      <c r="A317" s="37"/>
      <c r="B317" s="33"/>
      <c r="C317" s="34"/>
      <c r="D317" s="38"/>
      <c r="E317" s="33"/>
    </row>
    <row r="318" customFormat="false" ht="15" hidden="false" customHeight="false" outlineLevel="0" collapsed="false">
      <c r="A318" s="37"/>
      <c r="B318" s="33"/>
      <c r="C318" s="34"/>
      <c r="D318" s="38"/>
      <c r="E318" s="33"/>
    </row>
    <row r="319" customFormat="false" ht="15" hidden="false" customHeight="false" outlineLevel="0" collapsed="false">
      <c r="A319" s="37"/>
      <c r="B319" s="33"/>
      <c r="C319" s="34"/>
      <c r="D319" s="38"/>
      <c r="E319" s="33"/>
    </row>
    <row r="320" customFormat="false" ht="15" hidden="false" customHeight="false" outlineLevel="0" collapsed="false">
      <c r="A320" s="37"/>
      <c r="B320" s="33"/>
      <c r="C320" s="34"/>
      <c r="D320" s="38"/>
      <c r="E320" s="33"/>
    </row>
    <row r="321" customFormat="false" ht="15" hidden="false" customHeight="false" outlineLevel="0" collapsed="false">
      <c r="A321" s="37"/>
      <c r="B321" s="33"/>
      <c r="C321" s="34"/>
      <c r="D321" s="38"/>
      <c r="E321" s="33"/>
    </row>
    <row r="322" customFormat="false" ht="15" hidden="false" customHeight="false" outlineLevel="0" collapsed="false">
      <c r="A322" s="37"/>
      <c r="B322" s="33"/>
      <c r="C322" s="34"/>
      <c r="D322" s="38"/>
      <c r="E322" s="33"/>
    </row>
    <row r="323" customFormat="false" ht="15" hidden="false" customHeight="false" outlineLevel="0" collapsed="false">
      <c r="A323" s="37"/>
      <c r="B323" s="33"/>
      <c r="C323" s="34"/>
      <c r="D323" s="38"/>
      <c r="E323" s="33"/>
    </row>
    <row r="324" customFormat="false" ht="15" hidden="false" customHeight="false" outlineLevel="0" collapsed="false">
      <c r="A324" s="37"/>
      <c r="B324" s="33"/>
      <c r="C324" s="34"/>
      <c r="D324" s="38"/>
      <c r="E324" s="33"/>
    </row>
    <row r="325" customFormat="false" ht="15" hidden="false" customHeight="false" outlineLevel="0" collapsed="false">
      <c r="A325" s="37"/>
      <c r="B325" s="33"/>
      <c r="C325" s="34"/>
      <c r="D325" s="38"/>
      <c r="E325" s="33"/>
    </row>
    <row r="326" customFormat="false" ht="15" hidden="false" customHeight="false" outlineLevel="0" collapsed="false">
      <c r="A326" s="37"/>
      <c r="B326" s="33"/>
      <c r="C326" s="34"/>
      <c r="D326" s="38"/>
      <c r="E326" s="33"/>
    </row>
    <row r="327" customFormat="false" ht="15" hidden="false" customHeight="false" outlineLevel="0" collapsed="false">
      <c r="A327" s="37"/>
      <c r="B327" s="33"/>
      <c r="C327" s="34"/>
      <c r="D327" s="38"/>
      <c r="E327" s="33"/>
    </row>
    <row r="328" customFormat="false" ht="15" hidden="false" customHeight="false" outlineLevel="0" collapsed="false">
      <c r="A328" s="37"/>
      <c r="B328" s="33"/>
      <c r="C328" s="34"/>
      <c r="D328" s="38"/>
      <c r="E328" s="33"/>
    </row>
    <row r="329" customFormat="false" ht="15" hidden="false" customHeight="false" outlineLevel="0" collapsed="false">
      <c r="A329" s="37"/>
      <c r="B329" s="33"/>
      <c r="C329" s="34"/>
      <c r="D329" s="38"/>
      <c r="E329" s="33"/>
    </row>
    <row r="330" customFormat="false" ht="15" hidden="false" customHeight="false" outlineLevel="0" collapsed="false">
      <c r="A330" s="37"/>
      <c r="B330" s="33"/>
      <c r="C330" s="34"/>
      <c r="D330" s="38"/>
      <c r="E330" s="33"/>
    </row>
    <row r="331" customFormat="false" ht="15" hidden="false" customHeight="false" outlineLevel="0" collapsed="false">
      <c r="A331" s="37"/>
      <c r="B331" s="33"/>
      <c r="C331" s="34"/>
      <c r="D331" s="38"/>
      <c r="E331" s="33"/>
    </row>
    <row r="332" customFormat="false" ht="15" hidden="false" customHeight="false" outlineLevel="0" collapsed="false">
      <c r="A332" s="37"/>
      <c r="B332" s="33"/>
      <c r="C332" s="34"/>
      <c r="D332" s="38"/>
      <c r="E332" s="33"/>
    </row>
    <row r="333" customFormat="false" ht="15" hidden="false" customHeight="false" outlineLevel="0" collapsed="false">
      <c r="A333" s="37"/>
      <c r="B333" s="33"/>
      <c r="C333" s="34"/>
      <c r="D333" s="38"/>
      <c r="E333" s="33"/>
    </row>
    <row r="334" customFormat="false" ht="15" hidden="false" customHeight="false" outlineLevel="0" collapsed="false">
      <c r="A334" s="37"/>
      <c r="B334" s="33"/>
      <c r="C334" s="34"/>
      <c r="D334" s="38"/>
      <c r="E334" s="33"/>
    </row>
    <row r="335" customFormat="false" ht="15" hidden="false" customHeight="false" outlineLevel="0" collapsed="false">
      <c r="A335" s="37"/>
      <c r="B335" s="33"/>
      <c r="C335" s="34"/>
      <c r="D335" s="38"/>
      <c r="E335" s="33"/>
    </row>
    <row r="336" customFormat="false" ht="15" hidden="false" customHeight="false" outlineLevel="0" collapsed="false">
      <c r="A336" s="37"/>
      <c r="B336" s="33"/>
      <c r="C336" s="34"/>
      <c r="D336" s="38"/>
      <c r="E336" s="33"/>
    </row>
    <row r="337" customFormat="false" ht="15" hidden="false" customHeight="false" outlineLevel="0" collapsed="false">
      <c r="A337" s="37"/>
      <c r="B337" s="33"/>
      <c r="C337" s="34"/>
      <c r="D337" s="38"/>
      <c r="E337" s="33"/>
    </row>
    <row r="338" customFormat="false" ht="15" hidden="false" customHeight="false" outlineLevel="0" collapsed="false">
      <c r="A338" s="37"/>
      <c r="B338" s="33"/>
      <c r="C338" s="34"/>
      <c r="D338" s="38"/>
      <c r="E338" s="33"/>
    </row>
    <row r="339" customFormat="false" ht="15" hidden="false" customHeight="false" outlineLevel="0" collapsed="false">
      <c r="A339" s="37"/>
      <c r="B339" s="33"/>
      <c r="C339" s="34"/>
      <c r="D339" s="38"/>
      <c r="E339" s="33"/>
    </row>
    <row r="340" customFormat="false" ht="15" hidden="false" customHeight="false" outlineLevel="0" collapsed="false">
      <c r="A340" s="37"/>
      <c r="B340" s="33"/>
      <c r="C340" s="34"/>
      <c r="D340" s="38"/>
      <c r="E340" s="33"/>
    </row>
    <row r="341" customFormat="false" ht="15" hidden="false" customHeight="false" outlineLevel="0" collapsed="false">
      <c r="A341" s="37"/>
      <c r="B341" s="33"/>
      <c r="C341" s="34"/>
      <c r="D341" s="38"/>
      <c r="E341" s="33"/>
    </row>
    <row r="342" customFormat="false" ht="15" hidden="false" customHeight="false" outlineLevel="0" collapsed="false">
      <c r="A342" s="37"/>
      <c r="B342" s="33"/>
      <c r="C342" s="34"/>
      <c r="D342" s="38"/>
      <c r="E342" s="33"/>
    </row>
    <row r="343" customFormat="false" ht="15" hidden="false" customHeight="false" outlineLevel="0" collapsed="false">
      <c r="A343" s="37"/>
      <c r="B343" s="33"/>
      <c r="C343" s="34"/>
      <c r="D343" s="38"/>
      <c r="E343" s="33"/>
    </row>
    <row r="344" customFormat="false" ht="15" hidden="false" customHeight="false" outlineLevel="0" collapsed="false">
      <c r="A344" s="37"/>
      <c r="B344" s="33"/>
      <c r="C344" s="34"/>
      <c r="D344" s="38"/>
      <c r="E344" s="33"/>
    </row>
    <row r="345" customFormat="false" ht="15" hidden="false" customHeight="false" outlineLevel="0" collapsed="false">
      <c r="A345" s="37"/>
      <c r="B345" s="33"/>
      <c r="C345" s="34"/>
      <c r="D345" s="38"/>
      <c r="E345" s="33"/>
    </row>
    <row r="346" customFormat="false" ht="15" hidden="false" customHeight="false" outlineLevel="0" collapsed="false">
      <c r="A346" s="37"/>
      <c r="B346" s="33"/>
      <c r="C346" s="34"/>
      <c r="D346" s="38"/>
      <c r="E346" s="33"/>
    </row>
    <row r="347" customFormat="false" ht="15" hidden="false" customHeight="false" outlineLevel="0" collapsed="false">
      <c r="A347" s="37"/>
      <c r="B347" s="33"/>
      <c r="C347" s="34"/>
      <c r="D347" s="38"/>
      <c r="E347" s="33"/>
    </row>
    <row r="348" customFormat="false" ht="15" hidden="false" customHeight="false" outlineLevel="0" collapsed="false">
      <c r="A348" s="37"/>
      <c r="B348" s="33"/>
      <c r="C348" s="34"/>
      <c r="D348" s="38"/>
      <c r="E348" s="33"/>
    </row>
    <row r="349" customFormat="false" ht="15" hidden="false" customHeight="false" outlineLevel="0" collapsed="false">
      <c r="A349" s="37"/>
      <c r="B349" s="33"/>
      <c r="C349" s="34"/>
      <c r="D349" s="38"/>
      <c r="E349" s="33"/>
    </row>
    <row r="350" customFormat="false" ht="15" hidden="false" customHeight="false" outlineLevel="0" collapsed="false">
      <c r="A350" s="37"/>
      <c r="B350" s="33"/>
      <c r="C350" s="34"/>
      <c r="D350" s="38"/>
      <c r="E350" s="33"/>
    </row>
    <row r="351" customFormat="false" ht="15" hidden="false" customHeight="false" outlineLevel="0" collapsed="false">
      <c r="A351" s="37"/>
      <c r="B351" s="33"/>
      <c r="C351" s="34"/>
      <c r="D351" s="38"/>
      <c r="E351" s="33"/>
    </row>
    <row r="352" customFormat="false" ht="15" hidden="false" customHeight="false" outlineLevel="0" collapsed="false">
      <c r="A352" s="37"/>
      <c r="B352" s="33"/>
      <c r="C352" s="34"/>
      <c r="D352" s="38"/>
      <c r="E352" s="33"/>
    </row>
    <row r="353" customFormat="false" ht="15" hidden="false" customHeight="false" outlineLevel="0" collapsed="false">
      <c r="A353" s="37"/>
      <c r="B353" s="33"/>
      <c r="C353" s="34"/>
      <c r="D353" s="38"/>
      <c r="E353" s="33"/>
    </row>
    <row r="354" customFormat="false" ht="15" hidden="false" customHeight="false" outlineLevel="0" collapsed="false">
      <c r="A354" s="37"/>
      <c r="B354" s="33"/>
      <c r="C354" s="34"/>
      <c r="D354" s="38"/>
      <c r="E354" s="33"/>
    </row>
    <row r="355" customFormat="false" ht="15" hidden="false" customHeight="false" outlineLevel="0" collapsed="false">
      <c r="A355" s="37"/>
      <c r="B355" s="33"/>
      <c r="C355" s="34"/>
      <c r="D355" s="38"/>
      <c r="E355" s="33"/>
    </row>
    <row r="356" customFormat="false" ht="15" hidden="false" customHeight="false" outlineLevel="0" collapsed="false">
      <c r="A356" s="37"/>
      <c r="B356" s="33"/>
      <c r="C356" s="34"/>
      <c r="D356" s="38"/>
      <c r="E356" s="33"/>
    </row>
    <row r="357" customFormat="false" ht="15" hidden="false" customHeight="false" outlineLevel="0" collapsed="false">
      <c r="A357" s="37"/>
      <c r="B357" s="33"/>
      <c r="C357" s="34"/>
      <c r="D357" s="38"/>
      <c r="E357" s="33"/>
    </row>
    <row r="358" customFormat="false" ht="15" hidden="false" customHeight="false" outlineLevel="0" collapsed="false">
      <c r="A358" s="37"/>
      <c r="B358" s="33"/>
      <c r="C358" s="34"/>
      <c r="D358" s="38"/>
      <c r="E358" s="33"/>
    </row>
    <row r="359" customFormat="false" ht="15" hidden="false" customHeight="false" outlineLevel="0" collapsed="false">
      <c r="A359" s="37"/>
      <c r="B359" s="33"/>
      <c r="C359" s="34"/>
      <c r="D359" s="38"/>
      <c r="E359" s="33"/>
    </row>
    <row r="360" customFormat="false" ht="15" hidden="false" customHeight="false" outlineLevel="0" collapsed="false">
      <c r="A360" s="37"/>
      <c r="B360" s="33"/>
      <c r="C360" s="34"/>
      <c r="D360" s="38"/>
      <c r="E360" s="33"/>
    </row>
    <row r="361" customFormat="false" ht="15" hidden="false" customHeight="false" outlineLevel="0" collapsed="false">
      <c r="A361" s="37"/>
      <c r="B361" s="33"/>
      <c r="C361" s="34"/>
      <c r="D361" s="38"/>
      <c r="E361" s="33"/>
    </row>
    <row r="362" customFormat="false" ht="15" hidden="false" customHeight="false" outlineLevel="0" collapsed="false">
      <c r="A362" s="37"/>
      <c r="B362" s="33"/>
      <c r="C362" s="34"/>
      <c r="D362" s="38"/>
      <c r="E362" s="33"/>
    </row>
    <row r="363" customFormat="false" ht="15" hidden="false" customHeight="false" outlineLevel="0" collapsed="false">
      <c r="A363" s="37"/>
      <c r="B363" s="33"/>
      <c r="C363" s="34"/>
      <c r="D363" s="38"/>
      <c r="E363" s="33"/>
    </row>
    <row r="364" customFormat="false" ht="15" hidden="false" customHeight="false" outlineLevel="0" collapsed="false">
      <c r="A364" s="37"/>
      <c r="B364" s="33"/>
      <c r="C364" s="34"/>
      <c r="D364" s="38"/>
      <c r="E364" s="33"/>
    </row>
    <row r="365" customFormat="false" ht="15" hidden="false" customHeight="false" outlineLevel="0" collapsed="false">
      <c r="A365" s="37"/>
      <c r="B365" s="33"/>
      <c r="C365" s="34"/>
      <c r="D365" s="38"/>
      <c r="E365" s="33"/>
    </row>
    <row r="366" customFormat="false" ht="15" hidden="false" customHeight="false" outlineLevel="0" collapsed="false">
      <c r="A366" s="37"/>
      <c r="B366" s="33"/>
      <c r="C366" s="34"/>
      <c r="D366" s="38"/>
      <c r="E366" s="33"/>
    </row>
    <row r="367" customFormat="false" ht="15" hidden="false" customHeight="false" outlineLevel="0" collapsed="false">
      <c r="A367" s="37"/>
      <c r="B367" s="33"/>
      <c r="C367" s="34"/>
      <c r="D367" s="38"/>
      <c r="E367" s="33"/>
    </row>
    <row r="368" customFormat="false" ht="15" hidden="false" customHeight="false" outlineLevel="0" collapsed="false">
      <c r="A368" s="37"/>
      <c r="B368" s="33"/>
      <c r="C368" s="34"/>
      <c r="D368" s="38"/>
      <c r="E368" s="33"/>
    </row>
    <row r="369" customFormat="false" ht="15" hidden="false" customHeight="false" outlineLevel="0" collapsed="false">
      <c r="A369" s="37"/>
      <c r="B369" s="33"/>
      <c r="C369" s="34"/>
      <c r="D369" s="38"/>
      <c r="E369" s="33"/>
    </row>
    <row r="370" customFormat="false" ht="15" hidden="false" customHeight="false" outlineLevel="0" collapsed="false">
      <c r="A370" s="37"/>
      <c r="B370" s="33"/>
      <c r="C370" s="34"/>
      <c r="D370" s="38"/>
      <c r="E370" s="33"/>
    </row>
    <row r="371" customFormat="false" ht="15" hidden="false" customHeight="false" outlineLevel="0" collapsed="false">
      <c r="A371" s="37"/>
      <c r="B371" s="33"/>
      <c r="C371" s="34"/>
      <c r="D371" s="38"/>
      <c r="E371" s="33"/>
    </row>
    <row r="372" customFormat="false" ht="15" hidden="false" customHeight="false" outlineLevel="0" collapsed="false">
      <c r="A372" s="37"/>
      <c r="B372" s="33"/>
      <c r="C372" s="34"/>
      <c r="D372" s="38"/>
      <c r="E372" s="33"/>
    </row>
    <row r="373" customFormat="false" ht="15" hidden="false" customHeight="false" outlineLevel="0" collapsed="false">
      <c r="A373" s="37"/>
      <c r="B373" s="33"/>
      <c r="C373" s="34"/>
      <c r="D373" s="38"/>
      <c r="E373" s="33"/>
    </row>
    <row r="374" customFormat="false" ht="15" hidden="false" customHeight="false" outlineLevel="0" collapsed="false">
      <c r="A374" s="37"/>
      <c r="B374" s="33"/>
      <c r="C374" s="34"/>
      <c r="D374" s="38"/>
      <c r="E374" s="33"/>
    </row>
    <row r="375" customFormat="false" ht="15" hidden="false" customHeight="false" outlineLevel="0" collapsed="false">
      <c r="A375" s="37"/>
      <c r="B375" s="33"/>
      <c r="C375" s="34"/>
      <c r="D375" s="38"/>
      <c r="E375" s="33"/>
    </row>
    <row r="376" customFormat="false" ht="15" hidden="false" customHeight="false" outlineLevel="0" collapsed="false">
      <c r="A376" s="37"/>
      <c r="B376" s="33"/>
      <c r="C376" s="34"/>
      <c r="D376" s="38"/>
      <c r="E376" s="33"/>
    </row>
    <row r="377" customFormat="false" ht="15" hidden="false" customHeight="false" outlineLevel="0" collapsed="false">
      <c r="A377" s="37"/>
      <c r="B377" s="33"/>
      <c r="C377" s="34"/>
      <c r="D377" s="38"/>
      <c r="E377" s="33"/>
    </row>
    <row r="378" customFormat="false" ht="15" hidden="false" customHeight="false" outlineLevel="0" collapsed="false">
      <c r="A378" s="37"/>
      <c r="B378" s="33"/>
      <c r="C378" s="34"/>
      <c r="D378" s="38"/>
      <c r="E378" s="33"/>
    </row>
    <row r="379" customFormat="false" ht="15" hidden="false" customHeight="false" outlineLevel="0" collapsed="false">
      <c r="A379" s="37"/>
      <c r="B379" s="33"/>
      <c r="C379" s="34"/>
      <c r="D379" s="38"/>
      <c r="E379" s="33"/>
    </row>
    <row r="380" customFormat="false" ht="15" hidden="false" customHeight="false" outlineLevel="0" collapsed="false">
      <c r="A380" s="37"/>
      <c r="B380" s="33"/>
      <c r="C380" s="34"/>
      <c r="D380" s="38"/>
      <c r="E380" s="33"/>
    </row>
    <row r="381" customFormat="false" ht="15" hidden="false" customHeight="false" outlineLevel="0" collapsed="false">
      <c r="A381" s="37"/>
      <c r="B381" s="33"/>
      <c r="C381" s="34"/>
      <c r="D381" s="38"/>
      <c r="E381" s="33"/>
    </row>
    <row r="382" customFormat="false" ht="15" hidden="false" customHeight="false" outlineLevel="0" collapsed="false">
      <c r="A382" s="37"/>
      <c r="B382" s="33"/>
      <c r="C382" s="34"/>
      <c r="D382" s="38"/>
      <c r="E382" s="33"/>
    </row>
    <row r="383" customFormat="false" ht="15" hidden="false" customHeight="false" outlineLevel="0" collapsed="false">
      <c r="A383" s="37"/>
      <c r="B383" s="33"/>
      <c r="C383" s="34"/>
      <c r="D383" s="38"/>
      <c r="E383" s="33"/>
    </row>
    <row r="384" customFormat="false" ht="15" hidden="false" customHeight="false" outlineLevel="0" collapsed="false">
      <c r="A384" s="37"/>
      <c r="B384" s="33"/>
      <c r="C384" s="34"/>
      <c r="D384" s="38"/>
      <c r="E384" s="33"/>
    </row>
    <row r="385" customFormat="false" ht="15" hidden="false" customHeight="false" outlineLevel="0" collapsed="false">
      <c r="A385" s="37"/>
      <c r="B385" s="33"/>
      <c r="C385" s="34"/>
      <c r="D385" s="38"/>
      <c r="E385" s="33"/>
    </row>
    <row r="386" customFormat="false" ht="15" hidden="false" customHeight="false" outlineLevel="0" collapsed="false">
      <c r="A386" s="37"/>
      <c r="B386" s="33"/>
      <c r="C386" s="34"/>
      <c r="D386" s="38"/>
      <c r="E386" s="33"/>
    </row>
    <row r="387" customFormat="false" ht="15" hidden="false" customHeight="false" outlineLevel="0" collapsed="false">
      <c r="A387" s="37"/>
      <c r="B387" s="33"/>
      <c r="C387" s="34"/>
      <c r="D387" s="38"/>
      <c r="E387" s="33"/>
    </row>
    <row r="388" customFormat="false" ht="15" hidden="false" customHeight="false" outlineLevel="0" collapsed="false">
      <c r="A388" s="37"/>
      <c r="B388" s="33"/>
      <c r="C388" s="34"/>
      <c r="D388" s="38"/>
      <c r="E388" s="33"/>
    </row>
    <row r="389" customFormat="false" ht="15" hidden="false" customHeight="false" outlineLevel="0" collapsed="false">
      <c r="A389" s="37"/>
      <c r="B389" s="33"/>
      <c r="C389" s="34"/>
      <c r="D389" s="38"/>
      <c r="E389" s="33"/>
    </row>
    <row r="390" customFormat="false" ht="15" hidden="false" customHeight="false" outlineLevel="0" collapsed="false">
      <c r="A390" s="37"/>
      <c r="B390" s="33"/>
      <c r="C390" s="34"/>
      <c r="D390" s="38"/>
      <c r="E390" s="33"/>
    </row>
    <row r="391" customFormat="false" ht="15" hidden="false" customHeight="false" outlineLevel="0" collapsed="false">
      <c r="A391" s="37"/>
      <c r="B391" s="33"/>
      <c r="C391" s="34"/>
      <c r="D391" s="38"/>
      <c r="E391" s="33"/>
    </row>
    <row r="392" customFormat="false" ht="15" hidden="false" customHeight="false" outlineLevel="0" collapsed="false">
      <c r="A392" s="37"/>
      <c r="B392" s="33"/>
      <c r="C392" s="34"/>
      <c r="D392" s="38"/>
      <c r="E392" s="33"/>
    </row>
    <row r="393" customFormat="false" ht="15" hidden="false" customHeight="false" outlineLevel="0" collapsed="false">
      <c r="A393" s="37"/>
      <c r="B393" s="33"/>
      <c r="C393" s="34"/>
      <c r="D393" s="38"/>
      <c r="E393" s="33"/>
    </row>
    <row r="394" customFormat="false" ht="15" hidden="false" customHeight="false" outlineLevel="0" collapsed="false">
      <c r="A394" s="37"/>
      <c r="B394" s="33"/>
      <c r="C394" s="34"/>
      <c r="D394" s="38"/>
      <c r="E394" s="33"/>
    </row>
    <row r="395" customFormat="false" ht="15" hidden="false" customHeight="false" outlineLevel="0" collapsed="false">
      <c r="A395" s="37"/>
      <c r="B395" s="33"/>
      <c r="C395" s="34"/>
      <c r="D395" s="38"/>
      <c r="E395" s="33"/>
    </row>
    <row r="396" customFormat="false" ht="15" hidden="false" customHeight="false" outlineLevel="0" collapsed="false">
      <c r="A396" s="37"/>
      <c r="B396" s="33"/>
      <c r="C396" s="34"/>
      <c r="D396" s="38"/>
      <c r="E396" s="33"/>
    </row>
    <row r="397" customFormat="false" ht="15" hidden="false" customHeight="false" outlineLevel="0" collapsed="false">
      <c r="A397" s="37"/>
      <c r="B397" s="33"/>
      <c r="C397" s="34"/>
      <c r="D397" s="38"/>
      <c r="E397" s="33"/>
    </row>
    <row r="398" customFormat="false" ht="15" hidden="false" customHeight="false" outlineLevel="0" collapsed="false">
      <c r="A398" s="37"/>
      <c r="B398" s="33"/>
      <c r="C398" s="34"/>
      <c r="D398" s="38"/>
      <c r="E398" s="33"/>
    </row>
    <row r="399" customFormat="false" ht="15" hidden="false" customHeight="false" outlineLevel="0" collapsed="false">
      <c r="A399" s="37"/>
      <c r="B399" s="33"/>
      <c r="C399" s="34"/>
      <c r="D399" s="38"/>
      <c r="E399" s="33"/>
    </row>
    <row r="400" customFormat="false" ht="15" hidden="false" customHeight="false" outlineLevel="0" collapsed="false">
      <c r="A400" s="37"/>
      <c r="B400" s="33"/>
      <c r="C400" s="34"/>
      <c r="D400" s="38"/>
      <c r="E400" s="33"/>
    </row>
    <row r="401" customFormat="false" ht="15" hidden="false" customHeight="false" outlineLevel="0" collapsed="false">
      <c r="A401" s="37"/>
      <c r="B401" s="33"/>
      <c r="C401" s="34"/>
      <c r="D401" s="38"/>
      <c r="E401" s="33"/>
    </row>
    <row r="402" customFormat="false" ht="15" hidden="false" customHeight="false" outlineLevel="0" collapsed="false">
      <c r="A402" s="37"/>
      <c r="B402" s="33"/>
      <c r="C402" s="34"/>
      <c r="D402" s="38"/>
      <c r="E402" s="33"/>
    </row>
    <row r="403" customFormat="false" ht="15" hidden="false" customHeight="false" outlineLevel="0" collapsed="false">
      <c r="A403" s="37"/>
      <c r="B403" s="33"/>
      <c r="C403" s="34"/>
      <c r="D403" s="38"/>
      <c r="E403" s="33"/>
    </row>
    <row r="404" customFormat="false" ht="15" hidden="false" customHeight="false" outlineLevel="0" collapsed="false">
      <c r="A404" s="37"/>
      <c r="B404" s="33"/>
      <c r="C404" s="34"/>
      <c r="D404" s="38"/>
      <c r="E404" s="33"/>
    </row>
    <row r="405" customFormat="false" ht="15" hidden="false" customHeight="false" outlineLevel="0" collapsed="false">
      <c r="A405" s="37"/>
      <c r="B405" s="33"/>
      <c r="C405" s="34"/>
      <c r="D405" s="38"/>
      <c r="E405" s="33"/>
    </row>
    <row r="406" customFormat="false" ht="15" hidden="false" customHeight="false" outlineLevel="0" collapsed="false">
      <c r="A406" s="37"/>
      <c r="B406" s="33"/>
      <c r="C406" s="34"/>
      <c r="D406" s="38"/>
      <c r="E406" s="33"/>
    </row>
    <row r="407" customFormat="false" ht="15" hidden="false" customHeight="false" outlineLevel="0" collapsed="false">
      <c r="A407" s="37"/>
      <c r="B407" s="33"/>
      <c r="C407" s="34"/>
      <c r="D407" s="38"/>
      <c r="E407" s="33"/>
    </row>
    <row r="408" customFormat="false" ht="15" hidden="false" customHeight="false" outlineLevel="0" collapsed="false">
      <c r="A408" s="37"/>
      <c r="B408" s="33"/>
      <c r="C408" s="34"/>
      <c r="D408" s="38"/>
      <c r="E408" s="33"/>
    </row>
    <row r="409" customFormat="false" ht="15" hidden="false" customHeight="false" outlineLevel="0" collapsed="false">
      <c r="A409" s="37"/>
      <c r="B409" s="33"/>
      <c r="C409" s="34"/>
      <c r="D409" s="38"/>
      <c r="E409" s="33"/>
    </row>
    <row r="410" customFormat="false" ht="15" hidden="false" customHeight="false" outlineLevel="0" collapsed="false">
      <c r="A410" s="37"/>
      <c r="B410" s="33"/>
      <c r="C410" s="34"/>
      <c r="D410" s="38"/>
      <c r="E410" s="33"/>
    </row>
    <row r="411" customFormat="false" ht="15" hidden="false" customHeight="false" outlineLevel="0" collapsed="false">
      <c r="A411" s="37"/>
      <c r="B411" s="33"/>
      <c r="C411" s="34"/>
      <c r="D411" s="38"/>
      <c r="E411" s="33"/>
    </row>
    <row r="412" customFormat="false" ht="15" hidden="false" customHeight="false" outlineLevel="0" collapsed="false">
      <c r="A412" s="37"/>
      <c r="B412" s="33"/>
      <c r="C412" s="34"/>
      <c r="D412" s="38"/>
      <c r="E412" s="33"/>
    </row>
    <row r="413" customFormat="false" ht="15" hidden="false" customHeight="false" outlineLevel="0" collapsed="false">
      <c r="A413" s="37"/>
      <c r="B413" s="33"/>
      <c r="C413" s="34"/>
      <c r="D413" s="38"/>
      <c r="E413" s="33"/>
    </row>
    <row r="414" customFormat="false" ht="15" hidden="false" customHeight="false" outlineLevel="0" collapsed="false">
      <c r="A414" s="37"/>
      <c r="B414" s="33"/>
      <c r="C414" s="34"/>
      <c r="D414" s="38"/>
      <c r="E414" s="33"/>
    </row>
    <row r="415" customFormat="false" ht="15" hidden="false" customHeight="false" outlineLevel="0" collapsed="false">
      <c r="A415" s="37"/>
      <c r="B415" s="33"/>
      <c r="C415" s="34"/>
      <c r="D415" s="38"/>
      <c r="E415" s="33"/>
    </row>
    <row r="416" customFormat="false" ht="15" hidden="false" customHeight="false" outlineLevel="0" collapsed="false">
      <c r="A416" s="37"/>
      <c r="B416" s="33"/>
      <c r="C416" s="34"/>
      <c r="D416" s="38"/>
      <c r="E416" s="33"/>
    </row>
    <row r="417" customFormat="false" ht="15" hidden="false" customHeight="false" outlineLevel="0" collapsed="false">
      <c r="A417" s="37"/>
      <c r="B417" s="33"/>
      <c r="C417" s="34"/>
      <c r="D417" s="38"/>
      <c r="E417" s="33"/>
    </row>
    <row r="418" customFormat="false" ht="15" hidden="false" customHeight="false" outlineLevel="0" collapsed="false">
      <c r="A418" s="37"/>
      <c r="B418" s="33"/>
      <c r="C418" s="34"/>
      <c r="D418" s="38"/>
      <c r="E418" s="33"/>
    </row>
    <row r="419" customFormat="false" ht="15" hidden="false" customHeight="false" outlineLevel="0" collapsed="false">
      <c r="A419" s="37"/>
      <c r="B419" s="33"/>
      <c r="C419" s="34"/>
      <c r="D419" s="38"/>
      <c r="E419" s="33"/>
    </row>
    <row r="420" customFormat="false" ht="15" hidden="false" customHeight="false" outlineLevel="0" collapsed="false">
      <c r="A420" s="37"/>
      <c r="B420" s="33"/>
      <c r="C420" s="34"/>
      <c r="D420" s="38"/>
      <c r="E420" s="33"/>
    </row>
    <row r="421" customFormat="false" ht="15" hidden="false" customHeight="false" outlineLevel="0" collapsed="false">
      <c r="A421" s="37"/>
      <c r="B421" s="33"/>
      <c r="C421" s="34"/>
      <c r="D421" s="38"/>
      <c r="E421" s="33"/>
    </row>
    <row r="422" customFormat="false" ht="15" hidden="false" customHeight="false" outlineLevel="0" collapsed="false">
      <c r="A422" s="37"/>
      <c r="B422" s="33"/>
      <c r="C422" s="34"/>
      <c r="D422" s="38"/>
      <c r="E422" s="33"/>
    </row>
    <row r="423" customFormat="false" ht="15" hidden="false" customHeight="false" outlineLevel="0" collapsed="false">
      <c r="A423" s="37"/>
      <c r="B423" s="33"/>
      <c r="C423" s="34"/>
      <c r="D423" s="38"/>
      <c r="E423" s="33"/>
    </row>
    <row r="424" customFormat="false" ht="15" hidden="false" customHeight="false" outlineLevel="0" collapsed="false">
      <c r="A424" s="37"/>
      <c r="B424" s="33"/>
      <c r="C424" s="34"/>
      <c r="D424" s="38"/>
      <c r="E424" s="33"/>
    </row>
    <row r="425" customFormat="false" ht="15" hidden="false" customHeight="false" outlineLevel="0" collapsed="false">
      <c r="A425" s="37"/>
      <c r="B425" s="33"/>
      <c r="C425" s="34"/>
      <c r="D425" s="38"/>
      <c r="E425" s="33"/>
    </row>
    <row r="426" customFormat="false" ht="15" hidden="false" customHeight="false" outlineLevel="0" collapsed="false">
      <c r="A426" s="37"/>
      <c r="B426" s="33"/>
      <c r="C426" s="34"/>
      <c r="D426" s="38"/>
      <c r="E426" s="33"/>
    </row>
    <row r="427" customFormat="false" ht="15" hidden="false" customHeight="false" outlineLevel="0" collapsed="false">
      <c r="A427" s="37"/>
      <c r="B427" s="33"/>
      <c r="C427" s="34"/>
      <c r="D427" s="38"/>
      <c r="E427" s="33"/>
    </row>
    <row r="428" customFormat="false" ht="15" hidden="false" customHeight="false" outlineLevel="0" collapsed="false">
      <c r="A428" s="37"/>
      <c r="B428" s="33"/>
      <c r="C428" s="34"/>
      <c r="D428" s="38"/>
      <c r="E428" s="33"/>
    </row>
    <row r="429" customFormat="false" ht="15" hidden="false" customHeight="false" outlineLevel="0" collapsed="false">
      <c r="A429" s="37"/>
      <c r="B429" s="33"/>
      <c r="C429" s="34"/>
      <c r="D429" s="38"/>
      <c r="E429" s="33"/>
    </row>
    <row r="430" customFormat="false" ht="15" hidden="false" customHeight="false" outlineLevel="0" collapsed="false">
      <c r="A430" s="37"/>
      <c r="B430" s="33"/>
      <c r="C430" s="34"/>
      <c r="D430" s="38"/>
      <c r="E430" s="33"/>
    </row>
    <row r="431" customFormat="false" ht="15" hidden="false" customHeight="false" outlineLevel="0" collapsed="false">
      <c r="A431" s="37"/>
      <c r="B431" s="33"/>
      <c r="C431" s="34"/>
      <c r="D431" s="38"/>
      <c r="E431" s="33"/>
    </row>
    <row r="432" customFormat="false" ht="15" hidden="false" customHeight="false" outlineLevel="0" collapsed="false">
      <c r="A432" s="37"/>
      <c r="B432" s="33"/>
      <c r="C432" s="34"/>
      <c r="D432" s="38"/>
      <c r="E432" s="33"/>
    </row>
    <row r="433" customFormat="false" ht="15" hidden="false" customHeight="false" outlineLevel="0" collapsed="false">
      <c r="A433" s="37"/>
      <c r="B433" s="33"/>
      <c r="C433" s="34"/>
      <c r="D433" s="38"/>
      <c r="E433" s="33"/>
    </row>
    <row r="434" customFormat="false" ht="15" hidden="false" customHeight="false" outlineLevel="0" collapsed="false">
      <c r="A434" s="37"/>
      <c r="B434" s="33"/>
      <c r="C434" s="34"/>
      <c r="D434" s="38"/>
      <c r="E434" s="33"/>
    </row>
    <row r="435" customFormat="false" ht="15" hidden="false" customHeight="false" outlineLevel="0" collapsed="false">
      <c r="A435" s="37"/>
      <c r="B435" s="33"/>
      <c r="C435" s="34"/>
      <c r="D435" s="38"/>
      <c r="E435" s="33"/>
    </row>
    <row r="436" customFormat="false" ht="15" hidden="false" customHeight="false" outlineLevel="0" collapsed="false">
      <c r="A436" s="37"/>
      <c r="B436" s="33"/>
      <c r="C436" s="34"/>
      <c r="D436" s="38"/>
      <c r="E436" s="33"/>
    </row>
    <row r="437" customFormat="false" ht="15" hidden="false" customHeight="false" outlineLevel="0" collapsed="false">
      <c r="A437" s="37"/>
      <c r="B437" s="33"/>
      <c r="C437" s="34"/>
      <c r="D437" s="38"/>
      <c r="E437" s="33"/>
    </row>
    <row r="438" customFormat="false" ht="15" hidden="false" customHeight="false" outlineLevel="0" collapsed="false">
      <c r="A438" s="37"/>
      <c r="B438" s="33"/>
      <c r="C438" s="34"/>
      <c r="D438" s="38"/>
      <c r="E438" s="33"/>
    </row>
    <row r="439" customFormat="false" ht="15" hidden="false" customHeight="false" outlineLevel="0" collapsed="false">
      <c r="A439" s="37"/>
      <c r="B439" s="33"/>
      <c r="C439" s="34"/>
      <c r="D439" s="38"/>
      <c r="E439" s="33"/>
    </row>
    <row r="440" customFormat="false" ht="15" hidden="false" customHeight="false" outlineLevel="0" collapsed="false">
      <c r="A440" s="37"/>
      <c r="B440" s="33"/>
      <c r="C440" s="34"/>
      <c r="D440" s="38"/>
      <c r="E440" s="33"/>
    </row>
    <row r="441" customFormat="false" ht="15" hidden="false" customHeight="false" outlineLevel="0" collapsed="false">
      <c r="A441" s="37"/>
      <c r="B441" s="33"/>
      <c r="C441" s="34"/>
      <c r="D441" s="38"/>
      <c r="E441" s="33"/>
    </row>
    <row r="442" customFormat="false" ht="15" hidden="false" customHeight="false" outlineLevel="0" collapsed="false">
      <c r="A442" s="37"/>
      <c r="B442" s="33"/>
      <c r="C442" s="34"/>
      <c r="D442" s="38"/>
      <c r="E442" s="33"/>
    </row>
    <row r="443" customFormat="false" ht="15" hidden="false" customHeight="false" outlineLevel="0" collapsed="false">
      <c r="A443" s="37"/>
      <c r="B443" s="33"/>
      <c r="C443" s="34"/>
      <c r="D443" s="38"/>
      <c r="E443" s="33"/>
    </row>
    <row r="444" customFormat="false" ht="15" hidden="false" customHeight="false" outlineLevel="0" collapsed="false">
      <c r="A444" s="37"/>
      <c r="B444" s="33"/>
      <c r="C444" s="34"/>
      <c r="D444" s="38"/>
      <c r="E444" s="33"/>
    </row>
    <row r="445" customFormat="false" ht="15" hidden="false" customHeight="false" outlineLevel="0" collapsed="false">
      <c r="A445" s="37"/>
      <c r="B445" s="33"/>
      <c r="C445" s="34"/>
      <c r="D445" s="38"/>
      <c r="E445" s="33"/>
    </row>
    <row r="446" customFormat="false" ht="15" hidden="false" customHeight="false" outlineLevel="0" collapsed="false">
      <c r="A446" s="37"/>
      <c r="B446" s="33"/>
      <c r="C446" s="34"/>
      <c r="D446" s="38"/>
      <c r="E446" s="33"/>
    </row>
    <row r="447" customFormat="false" ht="15" hidden="false" customHeight="false" outlineLevel="0" collapsed="false">
      <c r="A447" s="37"/>
      <c r="B447" s="33"/>
      <c r="C447" s="34"/>
      <c r="D447" s="38"/>
      <c r="E447" s="33"/>
    </row>
    <row r="448" customFormat="false" ht="15" hidden="false" customHeight="false" outlineLevel="0" collapsed="false">
      <c r="A448" s="37"/>
      <c r="B448" s="33"/>
      <c r="C448" s="34"/>
      <c r="D448" s="38"/>
      <c r="E448" s="33"/>
    </row>
    <row r="449" customFormat="false" ht="15" hidden="false" customHeight="false" outlineLevel="0" collapsed="false">
      <c r="A449" s="37"/>
      <c r="B449" s="33"/>
      <c r="C449" s="34"/>
      <c r="D449" s="38"/>
      <c r="E449" s="33"/>
    </row>
    <row r="450" customFormat="false" ht="15" hidden="false" customHeight="false" outlineLevel="0" collapsed="false">
      <c r="A450" s="37"/>
      <c r="B450" s="33"/>
      <c r="C450" s="34"/>
      <c r="D450" s="38"/>
      <c r="E450" s="33"/>
    </row>
    <row r="451" customFormat="false" ht="15" hidden="false" customHeight="false" outlineLevel="0" collapsed="false">
      <c r="A451" s="37"/>
      <c r="B451" s="33"/>
      <c r="C451" s="34"/>
      <c r="D451" s="38"/>
      <c r="E451" s="33"/>
    </row>
    <row r="452" customFormat="false" ht="15" hidden="false" customHeight="false" outlineLevel="0" collapsed="false">
      <c r="A452" s="37"/>
      <c r="B452" s="33"/>
      <c r="C452" s="34"/>
      <c r="D452" s="38"/>
      <c r="E452" s="33"/>
    </row>
    <row r="453" customFormat="false" ht="15" hidden="false" customHeight="false" outlineLevel="0" collapsed="false">
      <c r="A453" s="37"/>
      <c r="B453" s="33"/>
      <c r="C453" s="34"/>
      <c r="D453" s="38"/>
      <c r="E453" s="33"/>
    </row>
    <row r="454" customFormat="false" ht="15" hidden="false" customHeight="false" outlineLevel="0" collapsed="false">
      <c r="A454" s="37"/>
      <c r="B454" s="33"/>
      <c r="C454" s="34"/>
      <c r="D454" s="38"/>
      <c r="E454" s="33"/>
    </row>
    <row r="455" customFormat="false" ht="15" hidden="false" customHeight="false" outlineLevel="0" collapsed="false">
      <c r="A455" s="37"/>
      <c r="B455" s="33"/>
      <c r="C455" s="34"/>
      <c r="D455" s="38"/>
      <c r="E455" s="33"/>
    </row>
    <row r="456" customFormat="false" ht="15" hidden="false" customHeight="false" outlineLevel="0" collapsed="false">
      <c r="A456" s="37"/>
      <c r="B456" s="33"/>
      <c r="C456" s="34"/>
      <c r="D456" s="38"/>
      <c r="E456" s="33"/>
    </row>
    <row r="457" customFormat="false" ht="15" hidden="false" customHeight="false" outlineLevel="0" collapsed="false">
      <c r="A457" s="37"/>
      <c r="B457" s="33"/>
      <c r="C457" s="34"/>
      <c r="D457" s="38"/>
      <c r="E457" s="33"/>
    </row>
    <row r="458" customFormat="false" ht="15" hidden="false" customHeight="false" outlineLevel="0" collapsed="false">
      <c r="A458" s="37"/>
      <c r="B458" s="33"/>
      <c r="C458" s="34"/>
      <c r="D458" s="38"/>
      <c r="E458" s="33"/>
    </row>
    <row r="459" customFormat="false" ht="15" hidden="false" customHeight="false" outlineLevel="0" collapsed="false">
      <c r="A459" s="37"/>
      <c r="B459" s="33"/>
      <c r="C459" s="34"/>
      <c r="D459" s="38"/>
      <c r="E459" s="33"/>
    </row>
    <row r="460" customFormat="false" ht="15" hidden="false" customHeight="false" outlineLevel="0" collapsed="false">
      <c r="A460" s="37"/>
      <c r="B460" s="33"/>
      <c r="C460" s="34"/>
      <c r="D460" s="38"/>
      <c r="E460" s="33"/>
    </row>
    <row r="461" customFormat="false" ht="15" hidden="false" customHeight="false" outlineLevel="0" collapsed="false">
      <c r="A461" s="37"/>
      <c r="B461" s="33"/>
      <c r="C461" s="34"/>
      <c r="D461" s="38"/>
      <c r="E461" s="33"/>
    </row>
    <row r="462" customFormat="false" ht="15" hidden="false" customHeight="false" outlineLevel="0" collapsed="false">
      <c r="A462" s="37"/>
      <c r="B462" s="33"/>
      <c r="C462" s="34"/>
      <c r="D462" s="38"/>
      <c r="E462" s="33"/>
    </row>
    <row r="463" customFormat="false" ht="15" hidden="false" customHeight="false" outlineLevel="0" collapsed="false">
      <c r="A463" s="37"/>
      <c r="B463" s="33"/>
      <c r="C463" s="34"/>
      <c r="D463" s="38"/>
      <c r="E463" s="33"/>
    </row>
    <row r="464" customFormat="false" ht="15" hidden="false" customHeight="false" outlineLevel="0" collapsed="false">
      <c r="A464" s="37"/>
      <c r="B464" s="33"/>
      <c r="C464" s="34"/>
      <c r="D464" s="38"/>
      <c r="E464" s="33"/>
    </row>
    <row r="465" customFormat="false" ht="15" hidden="false" customHeight="false" outlineLevel="0" collapsed="false">
      <c r="A465" s="37"/>
      <c r="B465" s="33"/>
      <c r="C465" s="34"/>
      <c r="D465" s="38"/>
      <c r="E465" s="33"/>
    </row>
    <row r="466" customFormat="false" ht="15" hidden="false" customHeight="false" outlineLevel="0" collapsed="false">
      <c r="A466" s="37"/>
      <c r="B466" s="33"/>
      <c r="C466" s="34"/>
      <c r="D466" s="38"/>
      <c r="E466" s="33"/>
    </row>
    <row r="467" customFormat="false" ht="15" hidden="false" customHeight="false" outlineLevel="0" collapsed="false">
      <c r="A467" s="37"/>
      <c r="B467" s="33"/>
      <c r="C467" s="34"/>
      <c r="D467" s="38"/>
      <c r="E467" s="33"/>
    </row>
    <row r="468" customFormat="false" ht="15" hidden="false" customHeight="false" outlineLevel="0" collapsed="false">
      <c r="A468" s="37"/>
      <c r="B468" s="33"/>
      <c r="C468" s="34"/>
      <c r="D468" s="38"/>
      <c r="E468" s="33"/>
    </row>
    <row r="469" customFormat="false" ht="15" hidden="false" customHeight="false" outlineLevel="0" collapsed="false">
      <c r="A469" s="37"/>
      <c r="B469" s="33"/>
      <c r="C469" s="34"/>
      <c r="D469" s="38"/>
      <c r="E469" s="33"/>
    </row>
    <row r="470" customFormat="false" ht="15" hidden="false" customHeight="false" outlineLevel="0" collapsed="false">
      <c r="A470" s="37"/>
      <c r="B470" s="33"/>
      <c r="C470" s="34"/>
      <c r="D470" s="38"/>
      <c r="E470" s="33"/>
    </row>
    <row r="471" customFormat="false" ht="15" hidden="false" customHeight="false" outlineLevel="0" collapsed="false">
      <c r="A471" s="37"/>
      <c r="B471" s="33"/>
      <c r="C471" s="34"/>
      <c r="D471" s="38"/>
      <c r="E471" s="33"/>
    </row>
    <row r="472" customFormat="false" ht="15" hidden="false" customHeight="false" outlineLevel="0" collapsed="false">
      <c r="A472" s="37"/>
      <c r="B472" s="33"/>
      <c r="C472" s="34"/>
      <c r="D472" s="38"/>
      <c r="E472" s="33"/>
    </row>
    <row r="473" customFormat="false" ht="15" hidden="false" customHeight="false" outlineLevel="0" collapsed="false">
      <c r="A473" s="37"/>
      <c r="B473" s="33"/>
      <c r="C473" s="34"/>
      <c r="D473" s="38"/>
      <c r="E473" s="33"/>
    </row>
    <row r="474" customFormat="false" ht="15" hidden="false" customHeight="false" outlineLevel="0" collapsed="false">
      <c r="A474" s="37"/>
      <c r="B474" s="33"/>
      <c r="C474" s="34"/>
      <c r="D474" s="38"/>
      <c r="E474" s="33"/>
    </row>
    <row r="475" customFormat="false" ht="15" hidden="false" customHeight="false" outlineLevel="0" collapsed="false">
      <c r="A475" s="37"/>
      <c r="B475" s="33"/>
      <c r="C475" s="34"/>
      <c r="D475" s="38"/>
      <c r="E475" s="33"/>
    </row>
    <row r="476" customFormat="false" ht="15" hidden="false" customHeight="false" outlineLevel="0" collapsed="false">
      <c r="A476" s="37"/>
      <c r="B476" s="33"/>
      <c r="C476" s="34"/>
      <c r="D476" s="38"/>
      <c r="E476" s="33"/>
    </row>
    <row r="477" customFormat="false" ht="15" hidden="false" customHeight="false" outlineLevel="0" collapsed="false">
      <c r="A477" s="37"/>
      <c r="B477" s="33"/>
      <c r="C477" s="34"/>
      <c r="D477" s="38"/>
      <c r="E477" s="33"/>
    </row>
    <row r="478" customFormat="false" ht="15" hidden="false" customHeight="false" outlineLevel="0" collapsed="false">
      <c r="A478" s="37"/>
      <c r="B478" s="33"/>
      <c r="C478" s="34"/>
      <c r="D478" s="38"/>
      <c r="E478" s="33"/>
    </row>
    <row r="479" customFormat="false" ht="15" hidden="false" customHeight="false" outlineLevel="0" collapsed="false">
      <c r="A479" s="37"/>
      <c r="B479" s="33"/>
      <c r="C479" s="34"/>
      <c r="D479" s="38"/>
      <c r="E479" s="33"/>
    </row>
    <row r="480" customFormat="false" ht="15" hidden="false" customHeight="false" outlineLevel="0" collapsed="false">
      <c r="A480" s="37"/>
      <c r="B480" s="33"/>
      <c r="C480" s="34"/>
      <c r="D480" s="38"/>
      <c r="E480" s="33"/>
    </row>
    <row r="481" customFormat="false" ht="15" hidden="false" customHeight="false" outlineLevel="0" collapsed="false">
      <c r="A481" s="37"/>
      <c r="B481" s="33"/>
      <c r="C481" s="34"/>
      <c r="D481" s="38"/>
      <c r="E481" s="33"/>
    </row>
    <row r="482" customFormat="false" ht="15" hidden="false" customHeight="false" outlineLevel="0" collapsed="false">
      <c r="A482" s="37"/>
      <c r="B482" s="33"/>
      <c r="C482" s="34"/>
      <c r="D482" s="38"/>
      <c r="E482" s="33"/>
    </row>
    <row r="483" customFormat="false" ht="15" hidden="false" customHeight="false" outlineLevel="0" collapsed="false">
      <c r="A483" s="37"/>
      <c r="B483" s="33"/>
      <c r="C483" s="34"/>
      <c r="D483" s="38"/>
      <c r="E483" s="33"/>
    </row>
    <row r="484" customFormat="false" ht="15" hidden="false" customHeight="false" outlineLevel="0" collapsed="false">
      <c r="A484" s="37"/>
      <c r="B484" s="33"/>
      <c r="C484" s="34"/>
      <c r="D484" s="38"/>
      <c r="E484" s="33"/>
    </row>
    <row r="485" customFormat="false" ht="15" hidden="false" customHeight="false" outlineLevel="0" collapsed="false">
      <c r="A485" s="37"/>
      <c r="B485" s="33"/>
      <c r="C485" s="34"/>
      <c r="D485" s="38"/>
      <c r="E485" s="33"/>
    </row>
    <row r="486" customFormat="false" ht="15" hidden="false" customHeight="false" outlineLevel="0" collapsed="false">
      <c r="A486" s="37"/>
      <c r="B486" s="33"/>
      <c r="C486" s="34"/>
      <c r="D486" s="38"/>
      <c r="E486" s="33"/>
    </row>
    <row r="487" customFormat="false" ht="15" hidden="false" customHeight="false" outlineLevel="0" collapsed="false">
      <c r="A487" s="37"/>
      <c r="B487" s="33"/>
      <c r="C487" s="34"/>
      <c r="D487" s="38"/>
      <c r="E487" s="33"/>
    </row>
    <row r="488" customFormat="false" ht="15" hidden="false" customHeight="false" outlineLevel="0" collapsed="false">
      <c r="A488" s="37"/>
      <c r="B488" s="33"/>
      <c r="C488" s="34"/>
      <c r="D488" s="38"/>
      <c r="E488" s="33"/>
    </row>
    <row r="489" customFormat="false" ht="15" hidden="false" customHeight="false" outlineLevel="0" collapsed="false">
      <c r="A489" s="37"/>
      <c r="B489" s="33"/>
      <c r="C489" s="34"/>
      <c r="D489" s="38"/>
      <c r="E489" s="33"/>
    </row>
    <row r="490" customFormat="false" ht="15" hidden="false" customHeight="false" outlineLevel="0" collapsed="false">
      <c r="A490" s="37"/>
      <c r="B490" s="33"/>
      <c r="C490" s="34"/>
      <c r="D490" s="38"/>
      <c r="E490" s="33"/>
    </row>
    <row r="491" customFormat="false" ht="15" hidden="false" customHeight="false" outlineLevel="0" collapsed="false">
      <c r="A491" s="37"/>
      <c r="B491" s="33"/>
      <c r="C491" s="34"/>
      <c r="D491" s="38"/>
      <c r="E491" s="33"/>
    </row>
    <row r="492" customFormat="false" ht="15" hidden="false" customHeight="false" outlineLevel="0" collapsed="false">
      <c r="A492" s="37"/>
      <c r="B492" s="33"/>
      <c r="C492" s="34"/>
      <c r="D492" s="38"/>
      <c r="E492" s="33"/>
    </row>
    <row r="493" customFormat="false" ht="15" hidden="false" customHeight="false" outlineLevel="0" collapsed="false">
      <c r="A493" s="37"/>
      <c r="B493" s="33"/>
      <c r="C493" s="34"/>
      <c r="D493" s="38"/>
      <c r="E493" s="33"/>
    </row>
    <row r="494" customFormat="false" ht="15" hidden="false" customHeight="false" outlineLevel="0" collapsed="false">
      <c r="A494" s="37"/>
      <c r="B494" s="33"/>
      <c r="C494" s="34"/>
      <c r="D494" s="38"/>
      <c r="E494" s="33"/>
    </row>
    <row r="495" customFormat="false" ht="15" hidden="false" customHeight="false" outlineLevel="0" collapsed="false">
      <c r="A495" s="37"/>
      <c r="B495" s="33"/>
      <c r="C495" s="34"/>
      <c r="D495" s="38"/>
      <c r="E495" s="33"/>
    </row>
    <row r="496" customFormat="false" ht="15" hidden="false" customHeight="false" outlineLevel="0" collapsed="false">
      <c r="A496" s="37"/>
      <c r="B496" s="33"/>
      <c r="C496" s="34"/>
      <c r="D496" s="38"/>
      <c r="E496" s="33"/>
    </row>
    <row r="497" customFormat="false" ht="15" hidden="false" customHeight="false" outlineLevel="0" collapsed="false">
      <c r="A497" s="37"/>
      <c r="B497" s="33"/>
      <c r="C497" s="34"/>
      <c r="D497" s="38"/>
      <c r="E497" s="33"/>
    </row>
    <row r="498" customFormat="false" ht="15" hidden="false" customHeight="false" outlineLevel="0" collapsed="false">
      <c r="A498" s="37"/>
      <c r="B498" s="33"/>
      <c r="C498" s="34"/>
      <c r="D498" s="38"/>
      <c r="E498" s="33"/>
    </row>
    <row r="499" customFormat="false" ht="15" hidden="false" customHeight="false" outlineLevel="0" collapsed="false">
      <c r="A499" s="37"/>
      <c r="B499" s="33"/>
      <c r="C499" s="34"/>
      <c r="D499" s="38"/>
      <c r="E499" s="33"/>
    </row>
    <row r="500" customFormat="false" ht="15" hidden="false" customHeight="false" outlineLevel="0" collapsed="false">
      <c r="A500" s="37"/>
      <c r="B500" s="33"/>
      <c r="C500" s="34"/>
      <c r="D500" s="38"/>
      <c r="E500" s="33"/>
    </row>
    <row r="501" customFormat="false" ht="15" hidden="false" customHeight="false" outlineLevel="0" collapsed="false">
      <c r="A501" s="37"/>
      <c r="B501" s="33"/>
      <c r="C501" s="34"/>
      <c r="D501" s="38"/>
      <c r="E501" s="33"/>
    </row>
    <row r="502" customFormat="false" ht="15" hidden="false" customHeight="false" outlineLevel="0" collapsed="false">
      <c r="A502" s="37"/>
      <c r="B502" s="33"/>
      <c r="C502" s="34"/>
      <c r="D502" s="38"/>
      <c r="E502" s="33"/>
    </row>
    <row r="503" customFormat="false" ht="15" hidden="false" customHeight="false" outlineLevel="0" collapsed="false">
      <c r="A503" s="37"/>
      <c r="B503" s="33"/>
      <c r="C503" s="34"/>
      <c r="D503" s="38"/>
      <c r="E503" s="33"/>
    </row>
    <row r="504" customFormat="false" ht="15" hidden="false" customHeight="false" outlineLevel="0" collapsed="false">
      <c r="A504" s="37"/>
      <c r="B504" s="33"/>
      <c r="C504" s="34"/>
      <c r="D504" s="38"/>
      <c r="E504" s="33"/>
    </row>
  </sheetData>
  <conditionalFormatting sqref="A5:E504">
    <cfRule type="expression" priority="2" aboveAverage="0" equalAverage="0" bottom="0" percent="0" rank="0" text="" dxfId="2">
      <formula>$E5="Non"</formula>
    </cfRule>
  </conditionalFormatting>
  <dataValidations count="1">
    <dataValidation allowBlank="true" errorStyle="stop" operator="between" showDropDown="false" showErrorMessage="false" showInputMessage="false" sqref="E5:E504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13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3"/>
    <col collapsed="false" customWidth="true" hidden="false" outlineLevel="0" max="9" min="9" style="0" width="22"/>
    <col collapsed="false" customWidth="true" hidden="false" outlineLevel="0" max="12" min="10" style="0" width="13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16"/>
    <col collapsed="false" customWidth="true" hidden="false" outlineLevel="0" max="16" min="16" style="0" width="3"/>
    <col collapsed="false" customWidth="true" hidden="false" outlineLevel="0" max="17" min="17" style="0" width="22"/>
    <col collapsed="false" customWidth="true" hidden="false" outlineLevel="0" max="18" min="18" style="0" width="13"/>
    <col collapsed="false" customWidth="true" hidden="false" outlineLevel="0" max="19" min="19" style="0" width="30"/>
  </cols>
  <sheetData>
    <row r="1" customFormat="false" ht="27.75" hidden="false" customHeight="true" outlineLevel="0" collapsed="false">
      <c r="A1" s="25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false" outlineLevel="0" collapsed="false">
      <c r="A2" s="3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customFormat="false" ht="17.35" hidden="false" customHeight="false" outlineLevel="0" collapsed="false">
      <c r="A4" s="6" t="s">
        <v>17</v>
      </c>
      <c r="B4" s="39" t="n">
        <f aca="false">Paramètres!$B$5+SUM(C8:C507)-SUM(G8:G507)</f>
        <v>600</v>
      </c>
      <c r="C4" s="2"/>
      <c r="D4" s="2"/>
      <c r="E4" s="6" t="s">
        <v>19</v>
      </c>
      <c r="F4" s="39" t="n">
        <f aca="false">SUM(K8:K40)</f>
        <v>500</v>
      </c>
      <c r="G4" s="2"/>
      <c r="H4" s="2"/>
      <c r="I4" s="6" t="s">
        <v>88</v>
      </c>
      <c r="J4" s="39" t="n">
        <f aca="false">B4-F4</f>
        <v>100</v>
      </c>
      <c r="K4" s="2"/>
      <c r="L4" s="2"/>
      <c r="M4" s="2"/>
      <c r="N4" s="2"/>
      <c r="O4" s="2"/>
      <c r="P4" s="2"/>
      <c r="Q4" s="2"/>
      <c r="R4" s="2"/>
      <c r="S4" s="2"/>
    </row>
    <row r="5" customFormat="false" ht="15" hidden="false" customHeight="false" outlineLevel="0" collapsed="false">
      <c r="A5" s="40" t="str">
        <f aca="false">IF(J4&lt;-0.004,"⚠ Plus d’argent affecté aux objectifs que d’épargne : manque "&amp;FIXED(-J4,2)&amp;" €. Retire de l’argent d’un objectif (mouvement négatif).","")</f>
        <v/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customFormat="false" ht="16.15" hidden="false" customHeight="false" outlineLevel="0" collapsed="false">
      <c r="A6" s="32" t="s">
        <v>89</v>
      </c>
      <c r="B6" s="2"/>
      <c r="C6" s="2"/>
      <c r="D6" s="2"/>
      <c r="E6" s="32" t="s">
        <v>90</v>
      </c>
      <c r="F6" s="2"/>
      <c r="G6" s="2"/>
      <c r="H6" s="2"/>
      <c r="I6" s="32" t="s">
        <v>91</v>
      </c>
      <c r="J6" s="2"/>
      <c r="K6" s="2"/>
      <c r="L6" s="2"/>
      <c r="M6" s="2"/>
      <c r="N6" s="2"/>
      <c r="O6" s="2"/>
      <c r="P6" s="2"/>
      <c r="Q6" s="32" t="s">
        <v>92</v>
      </c>
      <c r="R6" s="2"/>
      <c r="S6" s="2"/>
    </row>
    <row r="7" customFormat="false" ht="30" hidden="false" customHeight="true" outlineLevel="0" collapsed="false">
      <c r="A7" s="10" t="s">
        <v>65</v>
      </c>
      <c r="B7" s="10" t="s">
        <v>67</v>
      </c>
      <c r="C7" s="10" t="s">
        <v>7</v>
      </c>
      <c r="D7" s="2"/>
      <c r="E7" s="10" t="s">
        <v>65</v>
      </c>
      <c r="F7" s="10" t="s">
        <v>93</v>
      </c>
      <c r="G7" s="10" t="s">
        <v>7</v>
      </c>
      <c r="H7" s="2"/>
      <c r="I7" s="10" t="s">
        <v>94</v>
      </c>
      <c r="J7" s="10" t="s">
        <v>95</v>
      </c>
      <c r="K7" s="10" t="s">
        <v>96</v>
      </c>
      <c r="L7" s="10" t="s">
        <v>97</v>
      </c>
      <c r="M7" s="10" t="s">
        <v>98</v>
      </c>
      <c r="N7" s="10" t="s">
        <v>99</v>
      </c>
      <c r="O7" s="10" t="s">
        <v>100</v>
      </c>
      <c r="P7" s="2"/>
      <c r="Q7" s="10" t="s">
        <v>94</v>
      </c>
      <c r="R7" s="10" t="s">
        <v>7</v>
      </c>
      <c r="S7" s="10" t="s">
        <v>101</v>
      </c>
    </row>
    <row r="8" customFormat="false" ht="15" hidden="false" customHeight="false" outlineLevel="0" collapsed="false">
      <c r="A8" s="35" t="n">
        <v>46297</v>
      </c>
      <c r="B8" s="36" t="str">
        <f aca="false">IF(A8="","",YEAR(A8)&amp;"-"&amp;TEXT(MONTH(A8),"00"))</f>
        <v>2026-10</v>
      </c>
      <c r="C8" s="34" t="n">
        <v>100</v>
      </c>
      <c r="D8" s="2"/>
      <c r="E8" s="35"/>
      <c r="F8" s="33"/>
      <c r="G8" s="34"/>
      <c r="H8" s="2"/>
      <c r="I8" s="33" t="s">
        <v>102</v>
      </c>
      <c r="J8" s="34" t="n">
        <v>1200</v>
      </c>
      <c r="K8" s="13" t="n">
        <f aca="false">IF(I8="","",SUMIFS($R$8:$R$507,$Q$8:$Q$507,I8))</f>
        <v>300</v>
      </c>
      <c r="L8" s="13" t="n">
        <f aca="false">IF(I8="","",MAX(0,J8-K8))</f>
        <v>900</v>
      </c>
      <c r="M8" s="41" t="n">
        <f aca="false">IF(OR(I8="",N(J8)&lt;=0),"",MIN(1,MAX(0,K8/J8)))</f>
        <v>0.25</v>
      </c>
      <c r="N8" s="35" t="n">
        <v>46568</v>
      </c>
      <c r="O8" s="2" t="str">
        <f aca="true">IF(I8="","",IF(K8&gt;=J8,"Atteint ✓",IF(AND(N8&lt;&gt;"",N8&lt;TODAY()),"Date dépassée","En cours")))</f>
        <v>En cours</v>
      </c>
      <c r="P8" s="2"/>
      <c r="Q8" s="33" t="s">
        <v>102</v>
      </c>
      <c r="R8" s="34" t="n">
        <v>300</v>
      </c>
      <c r="S8" s="33" t="s">
        <v>103</v>
      </c>
    </row>
    <row r="9" customFormat="false" ht="15" hidden="false" customHeight="false" outlineLevel="0" collapsed="false">
      <c r="A9" s="35"/>
      <c r="B9" s="36" t="str">
        <f aca="false">IF(A9="","",YEAR(A9)&amp;"-"&amp;TEXT(MONTH(A9),"00"))</f>
        <v/>
      </c>
      <c r="C9" s="34"/>
      <c r="D9" s="2"/>
      <c r="E9" s="35"/>
      <c r="F9" s="33"/>
      <c r="G9" s="34"/>
      <c r="H9" s="2"/>
      <c r="I9" s="33" t="s">
        <v>104</v>
      </c>
      <c r="J9" s="34" t="n">
        <v>600</v>
      </c>
      <c r="K9" s="13" t="n">
        <f aca="false">IF(I9="","",SUMIFS($R$8:$R$507,$Q$8:$Q$507,I9))</f>
        <v>200</v>
      </c>
      <c r="L9" s="13" t="n">
        <f aca="false">IF(I9="","",MAX(0,J9-K9))</f>
        <v>400</v>
      </c>
      <c r="M9" s="41" t="n">
        <f aca="false">IF(OR(I9="",N(J9)&lt;=0),"",MIN(1,MAX(0,K9/J9)))</f>
        <v>0.333333333333333</v>
      </c>
      <c r="N9" s="35"/>
      <c r="O9" s="2" t="str">
        <f aca="true">IF(I9="","",IF(K9&gt;=J9,"Atteint ✓",IF(AND(N9&lt;&gt;"",N9&lt;TODAY()),"Date dépassée","En cours")))</f>
        <v>En cours</v>
      </c>
      <c r="P9" s="2"/>
      <c r="Q9" s="33" t="s">
        <v>104</v>
      </c>
      <c r="R9" s="34" t="n">
        <v>200</v>
      </c>
      <c r="S9" s="33" t="s">
        <v>103</v>
      </c>
    </row>
    <row r="10" customFormat="false" ht="15" hidden="false" customHeight="false" outlineLevel="0" collapsed="false">
      <c r="A10" s="35"/>
      <c r="B10" s="36" t="str">
        <f aca="false">IF(A10="","",YEAR(A10)&amp;"-"&amp;TEXT(MONTH(A10),"00"))</f>
        <v/>
      </c>
      <c r="C10" s="34"/>
      <c r="D10" s="2"/>
      <c r="E10" s="35"/>
      <c r="F10" s="33"/>
      <c r="G10" s="34"/>
      <c r="H10" s="2"/>
      <c r="I10" s="33"/>
      <c r="J10" s="34"/>
      <c r="K10" s="13" t="str">
        <f aca="false">IF(I10="","",SUMIFS($R$8:$R$507,$Q$8:$Q$507,I10))</f>
        <v/>
      </c>
      <c r="L10" s="13" t="str">
        <f aca="false">IF(I10="","",MAX(0,J10-K10))</f>
        <v/>
      </c>
      <c r="M10" s="41" t="str">
        <f aca="false">IF(OR(I10="",N(J10)&lt;=0),"",MIN(1,MAX(0,K10/J10)))</f>
        <v/>
      </c>
      <c r="N10" s="35"/>
      <c r="O10" s="2" t="str">
        <f aca="true">IF(I10="","",IF(K10&gt;=J10,"Atteint ✓",IF(AND(N10&lt;&gt;"",N10&lt;TODAY()),"Date dépassée","En cours")))</f>
        <v/>
      </c>
      <c r="P10" s="2"/>
      <c r="Q10" s="33"/>
      <c r="R10" s="34"/>
      <c r="S10" s="33"/>
    </row>
    <row r="11" customFormat="false" ht="15" hidden="false" customHeight="false" outlineLevel="0" collapsed="false">
      <c r="A11" s="35"/>
      <c r="B11" s="36" t="str">
        <f aca="false">IF(A11="","",YEAR(A11)&amp;"-"&amp;TEXT(MONTH(A11),"00"))</f>
        <v/>
      </c>
      <c r="C11" s="34"/>
      <c r="D11" s="2"/>
      <c r="E11" s="35"/>
      <c r="F11" s="33"/>
      <c r="G11" s="34"/>
      <c r="H11" s="2"/>
      <c r="I11" s="33"/>
      <c r="J11" s="34"/>
      <c r="K11" s="13" t="str">
        <f aca="false">IF(I11="","",SUMIFS($R$8:$R$507,$Q$8:$Q$507,I11))</f>
        <v/>
      </c>
      <c r="L11" s="13" t="str">
        <f aca="false">IF(I11="","",MAX(0,J11-K11))</f>
        <v/>
      </c>
      <c r="M11" s="41" t="str">
        <f aca="false">IF(OR(I11="",N(J11)&lt;=0),"",MIN(1,MAX(0,K11/J11)))</f>
        <v/>
      </c>
      <c r="N11" s="35"/>
      <c r="O11" s="2" t="str">
        <f aca="true">IF(I11="","",IF(K11&gt;=J11,"Atteint ✓",IF(AND(N11&lt;&gt;"",N11&lt;TODAY()),"Date dépassée","En cours")))</f>
        <v/>
      </c>
      <c r="P11" s="2"/>
      <c r="Q11" s="33"/>
      <c r="R11" s="34"/>
      <c r="S11" s="33"/>
    </row>
    <row r="12" customFormat="false" ht="15" hidden="false" customHeight="false" outlineLevel="0" collapsed="false">
      <c r="A12" s="35"/>
      <c r="B12" s="36" t="str">
        <f aca="false">IF(A12="","",YEAR(A12)&amp;"-"&amp;TEXT(MONTH(A12),"00"))</f>
        <v/>
      </c>
      <c r="C12" s="34"/>
      <c r="D12" s="2"/>
      <c r="E12" s="35"/>
      <c r="F12" s="33"/>
      <c r="G12" s="34"/>
      <c r="H12" s="2"/>
      <c r="I12" s="33"/>
      <c r="J12" s="34"/>
      <c r="K12" s="13" t="str">
        <f aca="false">IF(I12="","",SUMIFS($R$8:$R$507,$Q$8:$Q$507,I12))</f>
        <v/>
      </c>
      <c r="L12" s="13" t="str">
        <f aca="false">IF(I12="","",MAX(0,J12-K12))</f>
        <v/>
      </c>
      <c r="M12" s="41" t="str">
        <f aca="false">IF(OR(I12="",N(J12)&lt;=0),"",MIN(1,MAX(0,K12/J12)))</f>
        <v/>
      </c>
      <c r="N12" s="35"/>
      <c r="O12" s="2" t="str">
        <f aca="true">IF(I12="","",IF(K12&gt;=J12,"Atteint ✓",IF(AND(N12&lt;&gt;"",N12&lt;TODAY()),"Date dépassée","En cours")))</f>
        <v/>
      </c>
      <c r="P12" s="2"/>
      <c r="Q12" s="33"/>
      <c r="R12" s="34"/>
      <c r="S12" s="33"/>
    </row>
    <row r="13" customFormat="false" ht="15" hidden="false" customHeight="false" outlineLevel="0" collapsed="false">
      <c r="A13" s="35"/>
      <c r="B13" s="36" t="str">
        <f aca="false">IF(A13="","",YEAR(A13)&amp;"-"&amp;TEXT(MONTH(A13),"00"))</f>
        <v/>
      </c>
      <c r="C13" s="34"/>
      <c r="D13" s="2"/>
      <c r="E13" s="35"/>
      <c r="F13" s="33"/>
      <c r="G13" s="34"/>
      <c r="H13" s="2"/>
      <c r="I13" s="33"/>
      <c r="J13" s="34"/>
      <c r="K13" s="13" t="str">
        <f aca="false">IF(I13="","",SUMIFS($R$8:$R$507,$Q$8:$Q$507,I13))</f>
        <v/>
      </c>
      <c r="L13" s="13" t="str">
        <f aca="false">IF(I13="","",MAX(0,J13-K13))</f>
        <v/>
      </c>
      <c r="M13" s="41" t="str">
        <f aca="false">IF(OR(I13="",N(J13)&lt;=0),"",MIN(1,MAX(0,K13/J13)))</f>
        <v/>
      </c>
      <c r="N13" s="35"/>
      <c r="O13" s="2" t="str">
        <f aca="true">IF(I13="","",IF(K13&gt;=J13,"Atteint ✓",IF(AND(N13&lt;&gt;"",N13&lt;TODAY()),"Date dépassée","En cours")))</f>
        <v/>
      </c>
      <c r="P13" s="2"/>
      <c r="Q13" s="33"/>
      <c r="R13" s="34"/>
      <c r="S13" s="33"/>
    </row>
    <row r="14" customFormat="false" ht="15" hidden="false" customHeight="false" outlineLevel="0" collapsed="false">
      <c r="A14" s="35"/>
      <c r="B14" s="36" t="str">
        <f aca="false">IF(A14="","",YEAR(A14)&amp;"-"&amp;TEXT(MONTH(A14),"00"))</f>
        <v/>
      </c>
      <c r="C14" s="34"/>
      <c r="D14" s="2"/>
      <c r="E14" s="35"/>
      <c r="F14" s="33"/>
      <c r="G14" s="34"/>
      <c r="H14" s="2"/>
      <c r="I14" s="33"/>
      <c r="J14" s="34"/>
      <c r="K14" s="13" t="str">
        <f aca="false">IF(I14="","",SUMIFS($R$8:$R$507,$Q$8:$Q$507,I14))</f>
        <v/>
      </c>
      <c r="L14" s="13" t="str">
        <f aca="false">IF(I14="","",MAX(0,J14-K14))</f>
        <v/>
      </c>
      <c r="M14" s="41" t="str">
        <f aca="false">IF(OR(I14="",N(J14)&lt;=0),"",MIN(1,MAX(0,K14/J14)))</f>
        <v/>
      </c>
      <c r="N14" s="35"/>
      <c r="O14" s="2" t="str">
        <f aca="true">IF(I14="","",IF(K14&gt;=J14,"Atteint ✓",IF(AND(N14&lt;&gt;"",N14&lt;TODAY()),"Date dépassée","En cours")))</f>
        <v/>
      </c>
      <c r="P14" s="2"/>
      <c r="Q14" s="33"/>
      <c r="R14" s="34"/>
      <c r="S14" s="33"/>
    </row>
    <row r="15" customFormat="false" ht="15" hidden="false" customHeight="false" outlineLevel="0" collapsed="false">
      <c r="A15" s="35"/>
      <c r="B15" s="36" t="str">
        <f aca="false">IF(A15="","",YEAR(A15)&amp;"-"&amp;TEXT(MONTH(A15),"00"))</f>
        <v/>
      </c>
      <c r="C15" s="34"/>
      <c r="D15" s="2"/>
      <c r="E15" s="35"/>
      <c r="F15" s="33"/>
      <c r="G15" s="34"/>
      <c r="H15" s="2"/>
      <c r="I15" s="33"/>
      <c r="J15" s="34"/>
      <c r="K15" s="13" t="str">
        <f aca="false">IF(I15="","",SUMIFS($R$8:$R$507,$Q$8:$Q$507,I15))</f>
        <v/>
      </c>
      <c r="L15" s="13" t="str">
        <f aca="false">IF(I15="","",MAX(0,J15-K15))</f>
        <v/>
      </c>
      <c r="M15" s="41" t="str">
        <f aca="false">IF(OR(I15="",N(J15)&lt;=0),"",MIN(1,MAX(0,K15/J15)))</f>
        <v/>
      </c>
      <c r="N15" s="35"/>
      <c r="O15" s="2" t="str">
        <f aca="true">IF(I15="","",IF(K15&gt;=J15,"Atteint ✓",IF(AND(N15&lt;&gt;"",N15&lt;TODAY()),"Date dépassée","En cours")))</f>
        <v/>
      </c>
      <c r="P15" s="2"/>
      <c r="Q15" s="33"/>
      <c r="R15" s="34"/>
      <c r="S15" s="33"/>
    </row>
    <row r="16" customFormat="false" ht="15" hidden="false" customHeight="false" outlineLevel="0" collapsed="false">
      <c r="A16" s="35"/>
      <c r="B16" s="36" t="str">
        <f aca="false">IF(A16="","",YEAR(A16)&amp;"-"&amp;TEXT(MONTH(A16),"00"))</f>
        <v/>
      </c>
      <c r="C16" s="34"/>
      <c r="D16" s="2"/>
      <c r="E16" s="35"/>
      <c r="F16" s="33"/>
      <c r="G16" s="34"/>
      <c r="H16" s="2"/>
      <c r="I16" s="33"/>
      <c r="J16" s="34"/>
      <c r="K16" s="13" t="str">
        <f aca="false">IF(I16="","",SUMIFS($R$8:$R$507,$Q$8:$Q$507,I16))</f>
        <v/>
      </c>
      <c r="L16" s="13" t="str">
        <f aca="false">IF(I16="","",MAX(0,J16-K16))</f>
        <v/>
      </c>
      <c r="M16" s="41" t="str">
        <f aca="false">IF(OR(I16="",N(J16)&lt;=0),"",MIN(1,MAX(0,K16/J16)))</f>
        <v/>
      </c>
      <c r="N16" s="35"/>
      <c r="O16" s="2" t="str">
        <f aca="true">IF(I16="","",IF(K16&gt;=J16,"Atteint ✓",IF(AND(N16&lt;&gt;"",N16&lt;TODAY()),"Date dépassée","En cours")))</f>
        <v/>
      </c>
      <c r="P16" s="2"/>
      <c r="Q16" s="33"/>
      <c r="R16" s="34"/>
      <c r="S16" s="33"/>
    </row>
    <row r="17" customFormat="false" ht="15" hidden="false" customHeight="false" outlineLevel="0" collapsed="false">
      <c r="A17" s="35"/>
      <c r="B17" s="36" t="str">
        <f aca="false">IF(A17="","",YEAR(A17)&amp;"-"&amp;TEXT(MONTH(A17),"00"))</f>
        <v/>
      </c>
      <c r="C17" s="34"/>
      <c r="D17" s="2"/>
      <c r="E17" s="35"/>
      <c r="F17" s="33"/>
      <c r="G17" s="34"/>
      <c r="H17" s="2"/>
      <c r="I17" s="33"/>
      <c r="J17" s="34"/>
      <c r="K17" s="13" t="str">
        <f aca="false">IF(I17="","",SUMIFS($R$8:$R$507,$Q$8:$Q$507,I17))</f>
        <v/>
      </c>
      <c r="L17" s="13" t="str">
        <f aca="false">IF(I17="","",MAX(0,J17-K17))</f>
        <v/>
      </c>
      <c r="M17" s="41" t="str">
        <f aca="false">IF(OR(I17="",N(J17)&lt;=0),"",MIN(1,MAX(0,K17/J17)))</f>
        <v/>
      </c>
      <c r="N17" s="35"/>
      <c r="O17" s="2" t="str">
        <f aca="true">IF(I17="","",IF(K17&gt;=J17,"Atteint ✓",IF(AND(N17&lt;&gt;"",N17&lt;TODAY()),"Date dépassée","En cours")))</f>
        <v/>
      </c>
      <c r="P17" s="2"/>
      <c r="Q17" s="33"/>
      <c r="R17" s="34"/>
      <c r="S17" s="33"/>
    </row>
    <row r="18" customFormat="false" ht="15" hidden="false" customHeight="false" outlineLevel="0" collapsed="false">
      <c r="A18" s="35"/>
      <c r="B18" s="36" t="str">
        <f aca="false">IF(A18="","",YEAR(A18)&amp;"-"&amp;TEXT(MONTH(A18),"00"))</f>
        <v/>
      </c>
      <c r="C18" s="34"/>
      <c r="D18" s="2"/>
      <c r="E18" s="35"/>
      <c r="F18" s="33"/>
      <c r="G18" s="34"/>
      <c r="H18" s="2"/>
      <c r="I18" s="33"/>
      <c r="J18" s="34"/>
      <c r="K18" s="13" t="str">
        <f aca="false">IF(I18="","",SUMIFS($R$8:$R$507,$Q$8:$Q$507,I18))</f>
        <v/>
      </c>
      <c r="L18" s="13" t="str">
        <f aca="false">IF(I18="","",MAX(0,J18-K18))</f>
        <v/>
      </c>
      <c r="M18" s="41" t="str">
        <f aca="false">IF(OR(I18="",N(J18)&lt;=0),"",MIN(1,MAX(0,K18/J18)))</f>
        <v/>
      </c>
      <c r="N18" s="35"/>
      <c r="O18" s="2" t="str">
        <f aca="true">IF(I18="","",IF(K18&gt;=J18,"Atteint ✓",IF(AND(N18&lt;&gt;"",N18&lt;TODAY()),"Date dépassée","En cours")))</f>
        <v/>
      </c>
      <c r="P18" s="2"/>
      <c r="Q18" s="33"/>
      <c r="R18" s="34"/>
      <c r="S18" s="33"/>
    </row>
    <row r="19" customFormat="false" ht="15" hidden="false" customHeight="false" outlineLevel="0" collapsed="false">
      <c r="A19" s="35"/>
      <c r="B19" s="36" t="str">
        <f aca="false">IF(A19="","",YEAR(A19)&amp;"-"&amp;TEXT(MONTH(A19),"00"))</f>
        <v/>
      </c>
      <c r="C19" s="34"/>
      <c r="D19" s="2"/>
      <c r="E19" s="35"/>
      <c r="F19" s="33"/>
      <c r="G19" s="34"/>
      <c r="H19" s="2"/>
      <c r="I19" s="33"/>
      <c r="J19" s="34"/>
      <c r="K19" s="13" t="str">
        <f aca="false">IF(I19="","",SUMIFS($R$8:$R$507,$Q$8:$Q$507,I19))</f>
        <v/>
      </c>
      <c r="L19" s="13" t="str">
        <f aca="false">IF(I19="","",MAX(0,J19-K19))</f>
        <v/>
      </c>
      <c r="M19" s="41" t="str">
        <f aca="false">IF(OR(I19="",N(J19)&lt;=0),"",MIN(1,MAX(0,K19/J19)))</f>
        <v/>
      </c>
      <c r="N19" s="35"/>
      <c r="O19" s="2" t="str">
        <f aca="true">IF(I19="","",IF(K19&gt;=J19,"Atteint ✓",IF(AND(N19&lt;&gt;"",N19&lt;TODAY()),"Date dépassée","En cours")))</f>
        <v/>
      </c>
      <c r="P19" s="2"/>
      <c r="Q19" s="33"/>
      <c r="R19" s="34"/>
      <c r="S19" s="33"/>
    </row>
    <row r="20" customFormat="false" ht="15" hidden="false" customHeight="false" outlineLevel="0" collapsed="false">
      <c r="A20" s="35"/>
      <c r="B20" s="36" t="str">
        <f aca="false">IF(A20="","",YEAR(A20)&amp;"-"&amp;TEXT(MONTH(A20),"00"))</f>
        <v/>
      </c>
      <c r="C20" s="34"/>
      <c r="D20" s="2"/>
      <c r="E20" s="35"/>
      <c r="F20" s="33"/>
      <c r="G20" s="34"/>
      <c r="H20" s="2"/>
      <c r="I20" s="33"/>
      <c r="J20" s="34"/>
      <c r="K20" s="13" t="str">
        <f aca="false">IF(I20="","",SUMIFS($R$8:$R$507,$Q$8:$Q$507,I20))</f>
        <v/>
      </c>
      <c r="L20" s="13" t="str">
        <f aca="false">IF(I20="","",MAX(0,J20-K20))</f>
        <v/>
      </c>
      <c r="M20" s="41" t="str">
        <f aca="false">IF(OR(I20="",N(J20)&lt;=0),"",MIN(1,MAX(0,K20/J20)))</f>
        <v/>
      </c>
      <c r="N20" s="35"/>
      <c r="O20" s="2" t="str">
        <f aca="true">IF(I20="","",IF(K20&gt;=J20,"Atteint ✓",IF(AND(N20&lt;&gt;"",N20&lt;TODAY()),"Date dépassée","En cours")))</f>
        <v/>
      </c>
      <c r="P20" s="2"/>
      <c r="Q20" s="33"/>
      <c r="R20" s="34"/>
      <c r="S20" s="33"/>
    </row>
    <row r="21" customFormat="false" ht="15" hidden="false" customHeight="false" outlineLevel="0" collapsed="false">
      <c r="A21" s="35"/>
      <c r="B21" s="36" t="str">
        <f aca="false">IF(A21="","",YEAR(A21)&amp;"-"&amp;TEXT(MONTH(A21),"00"))</f>
        <v/>
      </c>
      <c r="C21" s="34"/>
      <c r="D21" s="2"/>
      <c r="E21" s="35"/>
      <c r="F21" s="33"/>
      <c r="G21" s="34"/>
      <c r="H21" s="2"/>
      <c r="I21" s="33"/>
      <c r="J21" s="34"/>
      <c r="K21" s="13" t="str">
        <f aca="false">IF(I21="","",SUMIFS($R$8:$R$507,$Q$8:$Q$507,I21))</f>
        <v/>
      </c>
      <c r="L21" s="13" t="str">
        <f aca="false">IF(I21="","",MAX(0,J21-K21))</f>
        <v/>
      </c>
      <c r="M21" s="41" t="str">
        <f aca="false">IF(OR(I21="",N(J21)&lt;=0),"",MIN(1,MAX(0,K21/J21)))</f>
        <v/>
      </c>
      <c r="N21" s="35"/>
      <c r="O21" s="2" t="str">
        <f aca="true">IF(I21="","",IF(K21&gt;=J21,"Atteint ✓",IF(AND(N21&lt;&gt;"",N21&lt;TODAY()),"Date dépassée","En cours")))</f>
        <v/>
      </c>
      <c r="P21" s="2"/>
      <c r="Q21" s="33"/>
      <c r="R21" s="34"/>
      <c r="S21" s="33"/>
    </row>
    <row r="22" customFormat="false" ht="15" hidden="false" customHeight="false" outlineLevel="0" collapsed="false">
      <c r="A22" s="35"/>
      <c r="B22" s="36" t="str">
        <f aca="false">IF(A22="","",YEAR(A22)&amp;"-"&amp;TEXT(MONTH(A22),"00"))</f>
        <v/>
      </c>
      <c r="C22" s="34"/>
      <c r="D22" s="2"/>
      <c r="E22" s="35"/>
      <c r="F22" s="33"/>
      <c r="G22" s="34"/>
      <c r="H22" s="2"/>
      <c r="I22" s="33"/>
      <c r="J22" s="34"/>
      <c r="K22" s="13" t="str">
        <f aca="false">IF(I22="","",SUMIFS($R$8:$R$507,$Q$8:$Q$507,I22))</f>
        <v/>
      </c>
      <c r="L22" s="13" t="str">
        <f aca="false">IF(I22="","",MAX(0,J22-K22))</f>
        <v/>
      </c>
      <c r="M22" s="41" t="str">
        <f aca="false">IF(OR(I22="",N(J22)&lt;=0),"",MIN(1,MAX(0,K22/J22)))</f>
        <v/>
      </c>
      <c r="N22" s="35"/>
      <c r="O22" s="2" t="str">
        <f aca="true">IF(I22="","",IF(K22&gt;=J22,"Atteint ✓",IF(AND(N22&lt;&gt;"",N22&lt;TODAY()),"Date dépassée","En cours")))</f>
        <v/>
      </c>
      <c r="P22" s="2"/>
      <c r="Q22" s="33"/>
      <c r="R22" s="34"/>
      <c r="S22" s="33"/>
    </row>
    <row r="23" customFormat="false" ht="15" hidden="false" customHeight="false" outlineLevel="0" collapsed="false">
      <c r="A23" s="35"/>
      <c r="B23" s="36" t="str">
        <f aca="false">IF(A23="","",YEAR(A23)&amp;"-"&amp;TEXT(MONTH(A23),"00"))</f>
        <v/>
      </c>
      <c r="C23" s="34"/>
      <c r="D23" s="2"/>
      <c r="E23" s="35"/>
      <c r="F23" s="33"/>
      <c r="G23" s="34"/>
      <c r="H23" s="2"/>
      <c r="I23" s="33"/>
      <c r="J23" s="34"/>
      <c r="K23" s="13" t="str">
        <f aca="false">IF(I23="","",SUMIFS($R$8:$R$507,$Q$8:$Q$507,I23))</f>
        <v/>
      </c>
      <c r="L23" s="13" t="str">
        <f aca="false">IF(I23="","",MAX(0,J23-K23))</f>
        <v/>
      </c>
      <c r="M23" s="41" t="str">
        <f aca="false">IF(OR(I23="",N(J23)&lt;=0),"",MIN(1,MAX(0,K23/J23)))</f>
        <v/>
      </c>
      <c r="N23" s="35"/>
      <c r="O23" s="2" t="str">
        <f aca="true">IF(I23="","",IF(K23&gt;=J23,"Atteint ✓",IF(AND(N23&lt;&gt;"",N23&lt;TODAY()),"Date dépassée","En cours")))</f>
        <v/>
      </c>
      <c r="P23" s="2"/>
      <c r="Q23" s="33"/>
      <c r="R23" s="34"/>
      <c r="S23" s="33"/>
    </row>
    <row r="24" customFormat="false" ht="15" hidden="false" customHeight="false" outlineLevel="0" collapsed="false">
      <c r="A24" s="35"/>
      <c r="B24" s="36" t="str">
        <f aca="false">IF(A24="","",YEAR(A24)&amp;"-"&amp;TEXT(MONTH(A24),"00"))</f>
        <v/>
      </c>
      <c r="C24" s="34"/>
      <c r="D24" s="2"/>
      <c r="E24" s="35"/>
      <c r="F24" s="33"/>
      <c r="G24" s="34"/>
      <c r="H24" s="2"/>
      <c r="I24" s="33"/>
      <c r="J24" s="34"/>
      <c r="K24" s="13" t="str">
        <f aca="false">IF(I24="","",SUMIFS($R$8:$R$507,$Q$8:$Q$507,I24))</f>
        <v/>
      </c>
      <c r="L24" s="13" t="str">
        <f aca="false">IF(I24="","",MAX(0,J24-K24))</f>
        <v/>
      </c>
      <c r="M24" s="41" t="str">
        <f aca="false">IF(OR(I24="",N(J24)&lt;=0),"",MIN(1,MAX(0,K24/J24)))</f>
        <v/>
      </c>
      <c r="N24" s="35"/>
      <c r="O24" s="2" t="str">
        <f aca="true">IF(I24="","",IF(K24&gt;=J24,"Atteint ✓",IF(AND(N24&lt;&gt;"",N24&lt;TODAY()),"Date dépassée","En cours")))</f>
        <v/>
      </c>
      <c r="P24" s="2"/>
      <c r="Q24" s="33"/>
      <c r="R24" s="34"/>
      <c r="S24" s="33"/>
    </row>
    <row r="25" customFormat="false" ht="15" hidden="false" customHeight="false" outlineLevel="0" collapsed="false">
      <c r="A25" s="35"/>
      <c r="B25" s="36" t="str">
        <f aca="false">IF(A25="","",YEAR(A25)&amp;"-"&amp;TEXT(MONTH(A25),"00"))</f>
        <v/>
      </c>
      <c r="C25" s="34"/>
      <c r="D25" s="2"/>
      <c r="E25" s="35"/>
      <c r="F25" s="33"/>
      <c r="G25" s="34"/>
      <c r="H25" s="2"/>
      <c r="I25" s="33"/>
      <c r="J25" s="34"/>
      <c r="K25" s="13" t="str">
        <f aca="false">IF(I25="","",SUMIFS($R$8:$R$507,$Q$8:$Q$507,I25))</f>
        <v/>
      </c>
      <c r="L25" s="13" t="str">
        <f aca="false">IF(I25="","",MAX(0,J25-K25))</f>
        <v/>
      </c>
      <c r="M25" s="41" t="str">
        <f aca="false">IF(OR(I25="",N(J25)&lt;=0),"",MIN(1,MAX(0,K25/J25)))</f>
        <v/>
      </c>
      <c r="N25" s="35"/>
      <c r="O25" s="2" t="str">
        <f aca="true">IF(I25="","",IF(K25&gt;=J25,"Atteint ✓",IF(AND(N25&lt;&gt;"",N25&lt;TODAY()),"Date dépassée","En cours")))</f>
        <v/>
      </c>
      <c r="P25" s="2"/>
      <c r="Q25" s="33"/>
      <c r="R25" s="34"/>
      <c r="S25" s="33"/>
    </row>
    <row r="26" customFormat="false" ht="15" hidden="false" customHeight="false" outlineLevel="0" collapsed="false">
      <c r="A26" s="35"/>
      <c r="B26" s="36" t="str">
        <f aca="false">IF(A26="","",YEAR(A26)&amp;"-"&amp;TEXT(MONTH(A26),"00"))</f>
        <v/>
      </c>
      <c r="C26" s="34"/>
      <c r="D26" s="2"/>
      <c r="E26" s="35"/>
      <c r="F26" s="33"/>
      <c r="G26" s="34"/>
      <c r="H26" s="2"/>
      <c r="I26" s="33"/>
      <c r="J26" s="34"/>
      <c r="K26" s="13" t="str">
        <f aca="false">IF(I26="","",SUMIFS($R$8:$R$507,$Q$8:$Q$507,I26))</f>
        <v/>
      </c>
      <c r="L26" s="13" t="str">
        <f aca="false">IF(I26="","",MAX(0,J26-K26))</f>
        <v/>
      </c>
      <c r="M26" s="41" t="str">
        <f aca="false">IF(OR(I26="",N(J26)&lt;=0),"",MIN(1,MAX(0,K26/J26)))</f>
        <v/>
      </c>
      <c r="N26" s="35"/>
      <c r="O26" s="2" t="str">
        <f aca="true">IF(I26="","",IF(K26&gt;=J26,"Atteint ✓",IF(AND(N26&lt;&gt;"",N26&lt;TODAY()),"Date dépassée","En cours")))</f>
        <v/>
      </c>
      <c r="P26" s="2"/>
      <c r="Q26" s="33"/>
      <c r="R26" s="34"/>
      <c r="S26" s="33"/>
    </row>
    <row r="27" customFormat="false" ht="15" hidden="false" customHeight="false" outlineLevel="0" collapsed="false">
      <c r="A27" s="35"/>
      <c r="B27" s="36" t="str">
        <f aca="false">IF(A27="","",YEAR(A27)&amp;"-"&amp;TEXT(MONTH(A27),"00"))</f>
        <v/>
      </c>
      <c r="C27" s="34"/>
      <c r="D27" s="2"/>
      <c r="E27" s="35"/>
      <c r="F27" s="33"/>
      <c r="G27" s="34"/>
      <c r="H27" s="2"/>
      <c r="I27" s="33"/>
      <c r="J27" s="34"/>
      <c r="K27" s="13" t="str">
        <f aca="false">IF(I27="","",SUMIFS($R$8:$R$507,$Q$8:$Q$507,I27))</f>
        <v/>
      </c>
      <c r="L27" s="13" t="str">
        <f aca="false">IF(I27="","",MAX(0,J27-K27))</f>
        <v/>
      </c>
      <c r="M27" s="41" t="str">
        <f aca="false">IF(OR(I27="",N(J27)&lt;=0),"",MIN(1,MAX(0,K27/J27)))</f>
        <v/>
      </c>
      <c r="N27" s="35"/>
      <c r="O27" s="2" t="str">
        <f aca="true">IF(I27="","",IF(K27&gt;=J27,"Atteint ✓",IF(AND(N27&lt;&gt;"",N27&lt;TODAY()),"Date dépassée","En cours")))</f>
        <v/>
      </c>
      <c r="P27" s="2"/>
      <c r="Q27" s="33"/>
      <c r="R27" s="34"/>
      <c r="S27" s="33"/>
    </row>
    <row r="28" customFormat="false" ht="15" hidden="false" customHeight="false" outlineLevel="0" collapsed="false">
      <c r="A28" s="35"/>
      <c r="B28" s="36" t="str">
        <f aca="false">IF(A28="","",YEAR(A28)&amp;"-"&amp;TEXT(MONTH(A28),"00"))</f>
        <v/>
      </c>
      <c r="C28" s="34"/>
      <c r="D28" s="2"/>
      <c r="E28" s="35"/>
      <c r="F28" s="33"/>
      <c r="G28" s="34"/>
      <c r="H28" s="2"/>
      <c r="I28" s="33"/>
      <c r="J28" s="34"/>
      <c r="K28" s="13" t="str">
        <f aca="false">IF(I28="","",SUMIFS($R$8:$R$507,$Q$8:$Q$507,I28))</f>
        <v/>
      </c>
      <c r="L28" s="13" t="str">
        <f aca="false">IF(I28="","",MAX(0,J28-K28))</f>
        <v/>
      </c>
      <c r="M28" s="41" t="str">
        <f aca="false">IF(OR(I28="",N(J28)&lt;=0),"",MIN(1,MAX(0,K28/J28)))</f>
        <v/>
      </c>
      <c r="N28" s="35"/>
      <c r="O28" s="2" t="str">
        <f aca="true">IF(I28="","",IF(K28&gt;=J28,"Atteint ✓",IF(AND(N28&lt;&gt;"",N28&lt;TODAY()),"Date dépassée","En cours")))</f>
        <v/>
      </c>
      <c r="P28" s="2"/>
      <c r="Q28" s="33"/>
      <c r="R28" s="34"/>
      <c r="S28" s="33"/>
    </row>
    <row r="29" customFormat="false" ht="15" hidden="false" customHeight="false" outlineLevel="0" collapsed="false">
      <c r="A29" s="35"/>
      <c r="B29" s="36" t="str">
        <f aca="false">IF(A29="","",YEAR(A29)&amp;"-"&amp;TEXT(MONTH(A29),"00"))</f>
        <v/>
      </c>
      <c r="C29" s="34"/>
      <c r="D29" s="2"/>
      <c r="E29" s="35"/>
      <c r="F29" s="33"/>
      <c r="G29" s="34"/>
      <c r="H29" s="2"/>
      <c r="I29" s="33"/>
      <c r="J29" s="34"/>
      <c r="K29" s="13" t="str">
        <f aca="false">IF(I29="","",SUMIFS($R$8:$R$507,$Q$8:$Q$507,I29))</f>
        <v/>
      </c>
      <c r="L29" s="13" t="str">
        <f aca="false">IF(I29="","",MAX(0,J29-K29))</f>
        <v/>
      </c>
      <c r="M29" s="41" t="str">
        <f aca="false">IF(OR(I29="",N(J29)&lt;=0),"",MIN(1,MAX(0,K29/J29)))</f>
        <v/>
      </c>
      <c r="N29" s="35"/>
      <c r="O29" s="2" t="str">
        <f aca="true">IF(I29="","",IF(K29&gt;=J29,"Atteint ✓",IF(AND(N29&lt;&gt;"",N29&lt;TODAY()),"Date dépassée","En cours")))</f>
        <v/>
      </c>
      <c r="P29" s="2"/>
      <c r="Q29" s="33"/>
      <c r="R29" s="34"/>
      <c r="S29" s="33"/>
    </row>
    <row r="30" customFormat="false" ht="15" hidden="false" customHeight="false" outlineLevel="0" collapsed="false">
      <c r="A30" s="35"/>
      <c r="B30" s="36" t="str">
        <f aca="false">IF(A30="","",YEAR(A30)&amp;"-"&amp;TEXT(MONTH(A30),"00"))</f>
        <v/>
      </c>
      <c r="C30" s="34"/>
      <c r="D30" s="2"/>
      <c r="E30" s="35"/>
      <c r="F30" s="33"/>
      <c r="G30" s="34"/>
      <c r="H30" s="2"/>
      <c r="I30" s="33"/>
      <c r="J30" s="34"/>
      <c r="K30" s="13" t="str">
        <f aca="false">IF(I30="","",SUMIFS($R$8:$R$507,$Q$8:$Q$507,I30))</f>
        <v/>
      </c>
      <c r="L30" s="13" t="str">
        <f aca="false">IF(I30="","",MAX(0,J30-K30))</f>
        <v/>
      </c>
      <c r="M30" s="41" t="str">
        <f aca="false">IF(OR(I30="",N(J30)&lt;=0),"",MIN(1,MAX(0,K30/J30)))</f>
        <v/>
      </c>
      <c r="N30" s="35"/>
      <c r="O30" s="2" t="str">
        <f aca="true">IF(I30="","",IF(K30&gt;=J30,"Atteint ✓",IF(AND(N30&lt;&gt;"",N30&lt;TODAY()),"Date dépassée","En cours")))</f>
        <v/>
      </c>
      <c r="P30" s="2"/>
      <c r="Q30" s="33"/>
      <c r="R30" s="34"/>
      <c r="S30" s="33"/>
    </row>
    <row r="31" customFormat="false" ht="15" hidden="false" customHeight="false" outlineLevel="0" collapsed="false">
      <c r="A31" s="35"/>
      <c r="B31" s="36" t="str">
        <f aca="false">IF(A31="","",YEAR(A31)&amp;"-"&amp;TEXT(MONTH(A31),"00"))</f>
        <v/>
      </c>
      <c r="C31" s="34"/>
      <c r="D31" s="2"/>
      <c r="E31" s="35"/>
      <c r="F31" s="33"/>
      <c r="G31" s="34"/>
      <c r="H31" s="2"/>
      <c r="I31" s="33"/>
      <c r="J31" s="34"/>
      <c r="K31" s="13" t="str">
        <f aca="false">IF(I31="","",SUMIFS($R$8:$R$507,$Q$8:$Q$507,I31))</f>
        <v/>
      </c>
      <c r="L31" s="13" t="str">
        <f aca="false">IF(I31="","",MAX(0,J31-K31))</f>
        <v/>
      </c>
      <c r="M31" s="41" t="str">
        <f aca="false">IF(OR(I31="",N(J31)&lt;=0),"",MIN(1,MAX(0,K31/J31)))</f>
        <v/>
      </c>
      <c r="N31" s="35"/>
      <c r="O31" s="2" t="str">
        <f aca="true">IF(I31="","",IF(K31&gt;=J31,"Atteint ✓",IF(AND(N31&lt;&gt;"",N31&lt;TODAY()),"Date dépassée","En cours")))</f>
        <v/>
      </c>
      <c r="P31" s="2"/>
      <c r="Q31" s="33"/>
      <c r="R31" s="34"/>
      <c r="S31" s="33"/>
    </row>
    <row r="32" customFormat="false" ht="15" hidden="false" customHeight="false" outlineLevel="0" collapsed="false">
      <c r="A32" s="35"/>
      <c r="B32" s="36" t="str">
        <f aca="false">IF(A32="","",YEAR(A32)&amp;"-"&amp;TEXT(MONTH(A32),"00"))</f>
        <v/>
      </c>
      <c r="C32" s="34"/>
      <c r="D32" s="2"/>
      <c r="E32" s="35"/>
      <c r="F32" s="33"/>
      <c r="G32" s="34"/>
      <c r="H32" s="2"/>
      <c r="I32" s="33"/>
      <c r="J32" s="34"/>
      <c r="K32" s="13" t="str">
        <f aca="false">IF(I32="","",SUMIFS($R$8:$R$507,$Q$8:$Q$507,I32))</f>
        <v/>
      </c>
      <c r="L32" s="13" t="str">
        <f aca="false">IF(I32="","",MAX(0,J32-K32))</f>
        <v/>
      </c>
      <c r="M32" s="41" t="str">
        <f aca="false">IF(OR(I32="",N(J32)&lt;=0),"",MIN(1,MAX(0,K32/J32)))</f>
        <v/>
      </c>
      <c r="N32" s="35"/>
      <c r="O32" s="2" t="str">
        <f aca="true">IF(I32="","",IF(K32&gt;=J32,"Atteint ✓",IF(AND(N32&lt;&gt;"",N32&lt;TODAY()),"Date dépassée","En cours")))</f>
        <v/>
      </c>
      <c r="P32" s="2"/>
      <c r="Q32" s="33"/>
      <c r="R32" s="34"/>
      <c r="S32" s="33"/>
    </row>
    <row r="33" customFormat="false" ht="15" hidden="false" customHeight="false" outlineLevel="0" collapsed="false">
      <c r="A33" s="35"/>
      <c r="B33" s="36" t="str">
        <f aca="false">IF(A33="","",YEAR(A33)&amp;"-"&amp;TEXT(MONTH(A33),"00"))</f>
        <v/>
      </c>
      <c r="C33" s="34"/>
      <c r="D33" s="2"/>
      <c r="E33" s="35"/>
      <c r="F33" s="33"/>
      <c r="G33" s="34"/>
      <c r="H33" s="2"/>
      <c r="I33" s="33"/>
      <c r="J33" s="34"/>
      <c r="K33" s="13" t="str">
        <f aca="false">IF(I33="","",SUMIFS($R$8:$R$507,$Q$8:$Q$507,I33))</f>
        <v/>
      </c>
      <c r="L33" s="13" t="str">
        <f aca="false">IF(I33="","",MAX(0,J33-K33))</f>
        <v/>
      </c>
      <c r="M33" s="41" t="str">
        <f aca="false">IF(OR(I33="",N(J33)&lt;=0),"",MIN(1,MAX(0,K33/J33)))</f>
        <v/>
      </c>
      <c r="N33" s="35"/>
      <c r="O33" s="2" t="str">
        <f aca="true">IF(I33="","",IF(K33&gt;=J33,"Atteint ✓",IF(AND(N33&lt;&gt;"",N33&lt;TODAY()),"Date dépassée","En cours")))</f>
        <v/>
      </c>
      <c r="P33" s="2"/>
      <c r="Q33" s="33"/>
      <c r="R33" s="34"/>
      <c r="S33" s="33"/>
    </row>
    <row r="34" customFormat="false" ht="15" hidden="false" customHeight="false" outlineLevel="0" collapsed="false">
      <c r="A34" s="35"/>
      <c r="B34" s="36" t="str">
        <f aca="false">IF(A34="","",YEAR(A34)&amp;"-"&amp;TEXT(MONTH(A34),"00"))</f>
        <v/>
      </c>
      <c r="C34" s="34"/>
      <c r="D34" s="2"/>
      <c r="E34" s="35"/>
      <c r="F34" s="33"/>
      <c r="G34" s="34"/>
      <c r="H34" s="2"/>
      <c r="I34" s="33"/>
      <c r="J34" s="34"/>
      <c r="K34" s="13" t="str">
        <f aca="false">IF(I34="","",SUMIFS($R$8:$R$507,$Q$8:$Q$507,I34))</f>
        <v/>
      </c>
      <c r="L34" s="13" t="str">
        <f aca="false">IF(I34="","",MAX(0,J34-K34))</f>
        <v/>
      </c>
      <c r="M34" s="41" t="str">
        <f aca="false">IF(OR(I34="",N(J34)&lt;=0),"",MIN(1,MAX(0,K34/J34)))</f>
        <v/>
      </c>
      <c r="N34" s="35"/>
      <c r="O34" s="2" t="str">
        <f aca="true">IF(I34="","",IF(K34&gt;=J34,"Atteint ✓",IF(AND(N34&lt;&gt;"",N34&lt;TODAY()),"Date dépassée","En cours")))</f>
        <v/>
      </c>
      <c r="P34" s="2"/>
      <c r="Q34" s="33"/>
      <c r="R34" s="34"/>
      <c r="S34" s="33"/>
    </row>
    <row r="35" customFormat="false" ht="15" hidden="false" customHeight="false" outlineLevel="0" collapsed="false">
      <c r="A35" s="35"/>
      <c r="B35" s="36" t="str">
        <f aca="false">IF(A35="","",YEAR(A35)&amp;"-"&amp;TEXT(MONTH(A35),"00"))</f>
        <v/>
      </c>
      <c r="C35" s="34"/>
      <c r="D35" s="2"/>
      <c r="E35" s="35"/>
      <c r="F35" s="33"/>
      <c r="G35" s="34"/>
      <c r="H35" s="2"/>
      <c r="I35" s="33"/>
      <c r="J35" s="34"/>
      <c r="K35" s="13" t="str">
        <f aca="false">IF(I35="","",SUMIFS($R$8:$R$507,$Q$8:$Q$507,I35))</f>
        <v/>
      </c>
      <c r="L35" s="13" t="str">
        <f aca="false">IF(I35="","",MAX(0,J35-K35))</f>
        <v/>
      </c>
      <c r="M35" s="41" t="str">
        <f aca="false">IF(OR(I35="",N(J35)&lt;=0),"",MIN(1,MAX(0,K35/J35)))</f>
        <v/>
      </c>
      <c r="N35" s="35"/>
      <c r="O35" s="2" t="str">
        <f aca="true">IF(I35="","",IF(K35&gt;=J35,"Atteint ✓",IF(AND(N35&lt;&gt;"",N35&lt;TODAY()),"Date dépassée","En cours")))</f>
        <v/>
      </c>
      <c r="P35" s="2"/>
      <c r="Q35" s="33"/>
      <c r="R35" s="34"/>
      <c r="S35" s="33"/>
    </row>
    <row r="36" customFormat="false" ht="15" hidden="false" customHeight="false" outlineLevel="0" collapsed="false">
      <c r="A36" s="35"/>
      <c r="B36" s="36" t="str">
        <f aca="false">IF(A36="","",YEAR(A36)&amp;"-"&amp;TEXT(MONTH(A36),"00"))</f>
        <v/>
      </c>
      <c r="C36" s="34"/>
      <c r="D36" s="2"/>
      <c r="E36" s="35"/>
      <c r="F36" s="33"/>
      <c r="G36" s="34"/>
      <c r="H36" s="2"/>
      <c r="I36" s="33"/>
      <c r="J36" s="34"/>
      <c r="K36" s="13" t="str">
        <f aca="false">IF(I36="","",SUMIFS($R$8:$R$507,$Q$8:$Q$507,I36))</f>
        <v/>
      </c>
      <c r="L36" s="13" t="str">
        <f aca="false">IF(I36="","",MAX(0,J36-K36))</f>
        <v/>
      </c>
      <c r="M36" s="41" t="str">
        <f aca="false">IF(OR(I36="",N(J36)&lt;=0),"",MIN(1,MAX(0,K36/J36)))</f>
        <v/>
      </c>
      <c r="N36" s="35"/>
      <c r="O36" s="2" t="str">
        <f aca="true">IF(I36="","",IF(K36&gt;=J36,"Atteint ✓",IF(AND(N36&lt;&gt;"",N36&lt;TODAY()),"Date dépassée","En cours")))</f>
        <v/>
      </c>
      <c r="P36" s="2"/>
      <c r="Q36" s="33"/>
      <c r="R36" s="34"/>
      <c r="S36" s="33"/>
    </row>
    <row r="37" customFormat="false" ht="15" hidden="false" customHeight="false" outlineLevel="0" collapsed="false">
      <c r="A37" s="35"/>
      <c r="B37" s="36" t="str">
        <f aca="false">IF(A37="","",YEAR(A37)&amp;"-"&amp;TEXT(MONTH(A37),"00"))</f>
        <v/>
      </c>
      <c r="C37" s="34"/>
      <c r="D37" s="2"/>
      <c r="E37" s="35"/>
      <c r="F37" s="33"/>
      <c r="G37" s="34"/>
      <c r="H37" s="2"/>
      <c r="I37" s="33"/>
      <c r="J37" s="34"/>
      <c r="K37" s="13" t="str">
        <f aca="false">IF(I37="","",SUMIFS($R$8:$R$507,$Q$8:$Q$507,I37))</f>
        <v/>
      </c>
      <c r="L37" s="13" t="str">
        <f aca="false">IF(I37="","",MAX(0,J37-K37))</f>
        <v/>
      </c>
      <c r="M37" s="41" t="str">
        <f aca="false">IF(OR(I37="",N(J37)&lt;=0),"",MIN(1,MAX(0,K37/J37)))</f>
        <v/>
      </c>
      <c r="N37" s="35"/>
      <c r="O37" s="2" t="str">
        <f aca="true">IF(I37="","",IF(K37&gt;=J37,"Atteint ✓",IF(AND(N37&lt;&gt;"",N37&lt;TODAY()),"Date dépassée","En cours")))</f>
        <v/>
      </c>
      <c r="P37" s="2"/>
      <c r="Q37" s="33"/>
      <c r="R37" s="34"/>
      <c r="S37" s="33"/>
    </row>
    <row r="38" customFormat="false" ht="15" hidden="false" customHeight="false" outlineLevel="0" collapsed="false">
      <c r="A38" s="35"/>
      <c r="B38" s="36" t="str">
        <f aca="false">IF(A38="","",YEAR(A38)&amp;"-"&amp;TEXT(MONTH(A38),"00"))</f>
        <v/>
      </c>
      <c r="C38" s="34"/>
      <c r="D38" s="2"/>
      <c r="E38" s="35"/>
      <c r="F38" s="33"/>
      <c r="G38" s="34"/>
      <c r="H38" s="2"/>
      <c r="I38" s="33"/>
      <c r="J38" s="34"/>
      <c r="K38" s="13" t="str">
        <f aca="false">IF(I38="","",SUMIFS($R$8:$R$507,$Q$8:$Q$507,I38))</f>
        <v/>
      </c>
      <c r="L38" s="13" t="str">
        <f aca="false">IF(I38="","",MAX(0,J38-K38))</f>
        <v/>
      </c>
      <c r="M38" s="41" t="str">
        <f aca="false">IF(OR(I38="",N(J38)&lt;=0),"",MIN(1,MAX(0,K38/J38)))</f>
        <v/>
      </c>
      <c r="N38" s="35"/>
      <c r="O38" s="2" t="str">
        <f aca="true">IF(I38="","",IF(K38&gt;=J38,"Atteint ✓",IF(AND(N38&lt;&gt;"",N38&lt;TODAY()),"Date dépassée","En cours")))</f>
        <v/>
      </c>
      <c r="P38" s="2"/>
      <c r="Q38" s="33"/>
      <c r="R38" s="34"/>
      <c r="S38" s="33"/>
    </row>
    <row r="39" customFormat="false" ht="15" hidden="false" customHeight="false" outlineLevel="0" collapsed="false">
      <c r="A39" s="35"/>
      <c r="B39" s="36" t="str">
        <f aca="false">IF(A39="","",YEAR(A39)&amp;"-"&amp;TEXT(MONTH(A39),"00"))</f>
        <v/>
      </c>
      <c r="C39" s="34"/>
      <c r="D39" s="2"/>
      <c r="E39" s="35"/>
      <c r="F39" s="33"/>
      <c r="G39" s="34"/>
      <c r="H39" s="2"/>
      <c r="I39" s="33"/>
      <c r="J39" s="34"/>
      <c r="K39" s="13" t="str">
        <f aca="false">IF(I39="","",SUMIFS($R$8:$R$507,$Q$8:$Q$507,I39))</f>
        <v/>
      </c>
      <c r="L39" s="13" t="str">
        <f aca="false">IF(I39="","",MAX(0,J39-K39))</f>
        <v/>
      </c>
      <c r="M39" s="41" t="str">
        <f aca="false">IF(OR(I39="",N(J39)&lt;=0),"",MIN(1,MAX(0,K39/J39)))</f>
        <v/>
      </c>
      <c r="N39" s="35"/>
      <c r="O39" s="2" t="str">
        <f aca="true">IF(I39="","",IF(K39&gt;=J39,"Atteint ✓",IF(AND(N39&lt;&gt;"",N39&lt;TODAY()),"Date dépassée","En cours")))</f>
        <v/>
      </c>
      <c r="P39" s="2"/>
      <c r="Q39" s="33"/>
      <c r="R39" s="34"/>
      <c r="S39" s="33"/>
    </row>
    <row r="40" customFormat="false" ht="15" hidden="false" customHeight="false" outlineLevel="0" collapsed="false">
      <c r="A40" s="35"/>
      <c r="B40" s="36" t="str">
        <f aca="false">IF(A40="","",YEAR(A40)&amp;"-"&amp;TEXT(MONTH(A40),"00"))</f>
        <v/>
      </c>
      <c r="C40" s="34"/>
      <c r="D40" s="2"/>
      <c r="E40" s="35"/>
      <c r="F40" s="33"/>
      <c r="G40" s="34"/>
      <c r="H40" s="2"/>
      <c r="I40" s="33"/>
      <c r="J40" s="34"/>
      <c r="K40" s="13" t="str">
        <f aca="false">IF(I40="","",SUMIFS($R$8:$R$507,$Q$8:$Q$507,I40))</f>
        <v/>
      </c>
      <c r="L40" s="13" t="str">
        <f aca="false">IF(I40="","",MAX(0,J40-K40))</f>
        <v/>
      </c>
      <c r="M40" s="41" t="str">
        <f aca="false">IF(OR(I40="",N(J40)&lt;=0),"",MIN(1,MAX(0,K40/J40)))</f>
        <v/>
      </c>
      <c r="N40" s="35"/>
      <c r="O40" s="2" t="str">
        <f aca="true">IF(I40="","",IF(K40&gt;=J40,"Atteint ✓",IF(AND(N40&lt;&gt;"",N40&lt;TODAY()),"Date dépassée","En cours")))</f>
        <v/>
      </c>
      <c r="P40" s="2"/>
      <c r="Q40" s="33"/>
      <c r="R40" s="34"/>
      <c r="S40" s="33"/>
    </row>
    <row r="41" customFormat="false" ht="15" hidden="false" customHeight="false" outlineLevel="0" collapsed="false">
      <c r="A41" s="35"/>
      <c r="B41" s="36" t="str">
        <f aca="false">IF(A41="","",YEAR(A41)&amp;"-"&amp;TEXT(MONTH(A41),"00"))</f>
        <v/>
      </c>
      <c r="C41" s="34"/>
      <c r="D41" s="2"/>
      <c r="E41" s="35"/>
      <c r="F41" s="33"/>
      <c r="G41" s="34"/>
      <c r="H41" s="2"/>
      <c r="I41" s="2"/>
      <c r="J41" s="2"/>
      <c r="K41" s="2"/>
      <c r="L41" s="2"/>
      <c r="M41" s="2"/>
      <c r="N41" s="2"/>
      <c r="O41" s="2"/>
      <c r="P41" s="2"/>
      <c r="Q41" s="33"/>
      <c r="R41" s="34"/>
      <c r="S41" s="33"/>
    </row>
    <row r="42" customFormat="false" ht="15" hidden="false" customHeight="false" outlineLevel="0" collapsed="false">
      <c r="A42" s="35"/>
      <c r="B42" s="36" t="str">
        <f aca="false">IF(A42="","",YEAR(A42)&amp;"-"&amp;TEXT(MONTH(A42),"00"))</f>
        <v/>
      </c>
      <c r="C42" s="34"/>
      <c r="D42" s="2"/>
      <c r="E42" s="35"/>
      <c r="F42" s="33"/>
      <c r="G42" s="34"/>
      <c r="H42" s="2"/>
      <c r="I42" s="2"/>
      <c r="J42" s="2"/>
      <c r="K42" s="2"/>
      <c r="L42" s="2"/>
      <c r="M42" s="2"/>
      <c r="N42" s="2"/>
      <c r="O42" s="2"/>
      <c r="P42" s="2"/>
      <c r="Q42" s="33"/>
      <c r="R42" s="34"/>
      <c r="S42" s="33"/>
    </row>
    <row r="43" customFormat="false" ht="15" hidden="false" customHeight="false" outlineLevel="0" collapsed="false">
      <c r="A43" s="35"/>
      <c r="B43" s="36" t="str">
        <f aca="false">IF(A43="","",YEAR(A43)&amp;"-"&amp;TEXT(MONTH(A43),"00"))</f>
        <v/>
      </c>
      <c r="C43" s="34"/>
      <c r="D43" s="2"/>
      <c r="E43" s="35"/>
      <c r="F43" s="33"/>
      <c r="G43" s="34"/>
      <c r="H43" s="2"/>
      <c r="I43" s="2"/>
      <c r="J43" s="2"/>
      <c r="K43" s="2"/>
      <c r="L43" s="2"/>
      <c r="M43" s="2"/>
      <c r="N43" s="2"/>
      <c r="O43" s="2"/>
      <c r="P43" s="2"/>
      <c r="Q43" s="33"/>
      <c r="R43" s="34"/>
      <c r="S43" s="33"/>
    </row>
    <row r="44" customFormat="false" ht="15" hidden="false" customHeight="false" outlineLevel="0" collapsed="false">
      <c r="A44" s="35"/>
      <c r="B44" s="36" t="str">
        <f aca="false">IF(A44="","",YEAR(A44)&amp;"-"&amp;TEXT(MONTH(A44),"00"))</f>
        <v/>
      </c>
      <c r="C44" s="34"/>
      <c r="D44" s="2"/>
      <c r="E44" s="35"/>
      <c r="F44" s="33"/>
      <c r="G44" s="34"/>
      <c r="H44" s="2"/>
      <c r="I44" s="2"/>
      <c r="J44" s="2"/>
      <c r="K44" s="2"/>
      <c r="L44" s="2"/>
      <c r="M44" s="2"/>
      <c r="N44" s="2"/>
      <c r="O44" s="2"/>
      <c r="P44" s="2"/>
      <c r="Q44" s="33"/>
      <c r="R44" s="34"/>
      <c r="S44" s="33"/>
    </row>
    <row r="45" customFormat="false" ht="15" hidden="false" customHeight="false" outlineLevel="0" collapsed="false">
      <c r="A45" s="35"/>
      <c r="B45" s="36" t="str">
        <f aca="false">IF(A45="","",YEAR(A45)&amp;"-"&amp;TEXT(MONTH(A45),"00"))</f>
        <v/>
      </c>
      <c r="C45" s="34"/>
      <c r="D45" s="2"/>
      <c r="E45" s="35"/>
      <c r="F45" s="33"/>
      <c r="G45" s="34"/>
      <c r="H45" s="2"/>
      <c r="I45" s="2"/>
      <c r="J45" s="2"/>
      <c r="K45" s="2"/>
      <c r="L45" s="2"/>
      <c r="M45" s="2"/>
      <c r="N45" s="2"/>
      <c r="O45" s="2"/>
      <c r="P45" s="2"/>
      <c r="Q45" s="33"/>
      <c r="R45" s="34"/>
      <c r="S45" s="33"/>
    </row>
    <row r="46" customFormat="false" ht="15" hidden="false" customHeight="false" outlineLevel="0" collapsed="false">
      <c r="A46" s="35"/>
      <c r="B46" s="36" t="str">
        <f aca="false">IF(A46="","",YEAR(A46)&amp;"-"&amp;TEXT(MONTH(A46),"00"))</f>
        <v/>
      </c>
      <c r="C46" s="34"/>
      <c r="D46" s="2"/>
      <c r="E46" s="35"/>
      <c r="F46" s="33"/>
      <c r="G46" s="34"/>
      <c r="H46" s="2"/>
      <c r="I46" s="2"/>
      <c r="J46" s="2"/>
      <c r="K46" s="2"/>
      <c r="L46" s="2"/>
      <c r="M46" s="2"/>
      <c r="N46" s="2"/>
      <c r="O46" s="2"/>
      <c r="P46" s="2"/>
      <c r="Q46" s="33"/>
      <c r="R46" s="34"/>
      <c r="S46" s="33"/>
    </row>
    <row r="47" customFormat="false" ht="15" hidden="false" customHeight="false" outlineLevel="0" collapsed="false">
      <c r="A47" s="35"/>
      <c r="B47" s="36" t="str">
        <f aca="false">IF(A47="","",YEAR(A47)&amp;"-"&amp;TEXT(MONTH(A47),"00"))</f>
        <v/>
      </c>
      <c r="C47" s="34"/>
      <c r="D47" s="2"/>
      <c r="E47" s="35"/>
      <c r="F47" s="33"/>
      <c r="G47" s="34"/>
      <c r="H47" s="2"/>
      <c r="I47" s="2"/>
      <c r="J47" s="2"/>
      <c r="K47" s="2"/>
      <c r="L47" s="2"/>
      <c r="M47" s="2"/>
      <c r="N47" s="2"/>
      <c r="O47" s="2"/>
      <c r="P47" s="2"/>
      <c r="Q47" s="33"/>
      <c r="R47" s="34"/>
      <c r="S47" s="33"/>
    </row>
    <row r="48" customFormat="false" ht="15" hidden="false" customHeight="false" outlineLevel="0" collapsed="false">
      <c r="A48" s="35"/>
      <c r="B48" s="36" t="str">
        <f aca="false">IF(A48="","",YEAR(A48)&amp;"-"&amp;TEXT(MONTH(A48),"00"))</f>
        <v/>
      </c>
      <c r="C48" s="34"/>
      <c r="D48" s="2"/>
      <c r="E48" s="35"/>
      <c r="F48" s="33"/>
      <c r="G48" s="34"/>
      <c r="H48" s="2"/>
      <c r="I48" s="2"/>
      <c r="J48" s="2"/>
      <c r="K48" s="2"/>
      <c r="L48" s="2"/>
      <c r="M48" s="2"/>
      <c r="N48" s="2"/>
      <c r="O48" s="2"/>
      <c r="P48" s="2"/>
      <c r="Q48" s="33"/>
      <c r="R48" s="34"/>
      <c r="S48" s="33"/>
    </row>
    <row r="49" customFormat="false" ht="15" hidden="false" customHeight="false" outlineLevel="0" collapsed="false">
      <c r="A49" s="35"/>
      <c r="B49" s="36" t="str">
        <f aca="false">IF(A49="","",YEAR(A49)&amp;"-"&amp;TEXT(MONTH(A49),"00"))</f>
        <v/>
      </c>
      <c r="C49" s="34"/>
      <c r="D49" s="2"/>
      <c r="E49" s="35"/>
      <c r="F49" s="33"/>
      <c r="G49" s="34"/>
      <c r="H49" s="2"/>
      <c r="I49" s="2"/>
      <c r="J49" s="2"/>
      <c r="K49" s="2"/>
      <c r="L49" s="2"/>
      <c r="M49" s="2"/>
      <c r="N49" s="2"/>
      <c r="O49" s="2"/>
      <c r="P49" s="2"/>
      <c r="Q49" s="33"/>
      <c r="R49" s="34"/>
      <c r="S49" s="33"/>
    </row>
    <row r="50" customFormat="false" ht="15" hidden="false" customHeight="false" outlineLevel="0" collapsed="false">
      <c r="A50" s="35"/>
      <c r="B50" s="36" t="str">
        <f aca="false">IF(A50="","",YEAR(A50)&amp;"-"&amp;TEXT(MONTH(A50),"00"))</f>
        <v/>
      </c>
      <c r="C50" s="34"/>
      <c r="D50" s="2"/>
      <c r="E50" s="35"/>
      <c r="F50" s="33"/>
      <c r="G50" s="34"/>
      <c r="H50" s="2"/>
      <c r="I50" s="2"/>
      <c r="J50" s="2"/>
      <c r="K50" s="2"/>
      <c r="L50" s="2"/>
      <c r="M50" s="2"/>
      <c r="N50" s="2"/>
      <c r="O50" s="2"/>
      <c r="P50" s="2"/>
      <c r="Q50" s="33"/>
      <c r="R50" s="34"/>
      <c r="S50" s="33"/>
    </row>
    <row r="51" customFormat="false" ht="15" hidden="false" customHeight="false" outlineLevel="0" collapsed="false">
      <c r="A51" s="35"/>
      <c r="B51" s="36" t="str">
        <f aca="false">IF(A51="","",YEAR(A51)&amp;"-"&amp;TEXT(MONTH(A51),"00"))</f>
        <v/>
      </c>
      <c r="C51" s="34"/>
      <c r="D51" s="2"/>
      <c r="E51" s="35"/>
      <c r="F51" s="33"/>
      <c r="G51" s="34"/>
      <c r="H51" s="2"/>
      <c r="I51" s="2"/>
      <c r="J51" s="2"/>
      <c r="K51" s="2"/>
      <c r="L51" s="2"/>
      <c r="M51" s="2"/>
      <c r="N51" s="2"/>
      <c r="O51" s="2"/>
      <c r="P51" s="2"/>
      <c r="Q51" s="33"/>
      <c r="R51" s="34"/>
      <c r="S51" s="33"/>
    </row>
    <row r="52" customFormat="false" ht="15" hidden="false" customHeight="false" outlineLevel="0" collapsed="false">
      <c r="A52" s="35"/>
      <c r="B52" s="36" t="str">
        <f aca="false">IF(A52="","",YEAR(A52)&amp;"-"&amp;TEXT(MONTH(A52),"00"))</f>
        <v/>
      </c>
      <c r="C52" s="34"/>
      <c r="D52" s="2"/>
      <c r="E52" s="35"/>
      <c r="F52" s="33"/>
      <c r="G52" s="34"/>
      <c r="H52" s="2"/>
      <c r="I52" s="2"/>
      <c r="J52" s="2"/>
      <c r="K52" s="2"/>
      <c r="L52" s="2"/>
      <c r="M52" s="2"/>
      <c r="N52" s="2"/>
      <c r="O52" s="2"/>
      <c r="P52" s="2"/>
      <c r="Q52" s="33"/>
      <c r="R52" s="34"/>
      <c r="S52" s="33"/>
    </row>
    <row r="53" customFormat="false" ht="15" hidden="false" customHeight="false" outlineLevel="0" collapsed="false">
      <c r="A53" s="35"/>
      <c r="B53" s="36" t="str">
        <f aca="false">IF(A53="","",YEAR(A53)&amp;"-"&amp;TEXT(MONTH(A53),"00"))</f>
        <v/>
      </c>
      <c r="C53" s="34"/>
      <c r="D53" s="2"/>
      <c r="E53" s="35"/>
      <c r="F53" s="33"/>
      <c r="G53" s="34"/>
      <c r="H53" s="2"/>
      <c r="I53" s="2"/>
      <c r="J53" s="2"/>
      <c r="K53" s="2"/>
      <c r="L53" s="2"/>
      <c r="M53" s="2"/>
      <c r="N53" s="2"/>
      <c r="O53" s="2"/>
      <c r="P53" s="2"/>
      <c r="Q53" s="33"/>
      <c r="R53" s="34"/>
      <c r="S53" s="33"/>
    </row>
    <row r="54" customFormat="false" ht="15" hidden="false" customHeight="false" outlineLevel="0" collapsed="false">
      <c r="A54" s="35"/>
      <c r="B54" s="36" t="str">
        <f aca="false">IF(A54="","",YEAR(A54)&amp;"-"&amp;TEXT(MONTH(A54),"00"))</f>
        <v/>
      </c>
      <c r="C54" s="34"/>
      <c r="D54" s="2"/>
      <c r="E54" s="35"/>
      <c r="F54" s="33"/>
      <c r="G54" s="34"/>
      <c r="H54" s="2"/>
      <c r="I54" s="2"/>
      <c r="J54" s="2"/>
      <c r="K54" s="2"/>
      <c r="L54" s="2"/>
      <c r="M54" s="2"/>
      <c r="N54" s="2"/>
      <c r="O54" s="2"/>
      <c r="P54" s="2"/>
      <c r="Q54" s="33"/>
      <c r="R54" s="34"/>
      <c r="S54" s="33"/>
    </row>
    <row r="55" customFormat="false" ht="15" hidden="false" customHeight="false" outlineLevel="0" collapsed="false">
      <c r="A55" s="35"/>
      <c r="B55" s="36" t="str">
        <f aca="false">IF(A55="","",YEAR(A55)&amp;"-"&amp;TEXT(MONTH(A55),"00"))</f>
        <v/>
      </c>
      <c r="C55" s="34"/>
      <c r="D55" s="2"/>
      <c r="E55" s="35"/>
      <c r="F55" s="33"/>
      <c r="G55" s="34"/>
      <c r="H55" s="2"/>
      <c r="I55" s="2"/>
      <c r="J55" s="2"/>
      <c r="K55" s="2"/>
      <c r="L55" s="2"/>
      <c r="M55" s="2"/>
      <c r="N55" s="2"/>
      <c r="O55" s="2"/>
      <c r="P55" s="2"/>
      <c r="Q55" s="33"/>
      <c r="R55" s="34"/>
      <c r="S55" s="33"/>
    </row>
    <row r="56" customFormat="false" ht="15" hidden="false" customHeight="false" outlineLevel="0" collapsed="false">
      <c r="A56" s="35"/>
      <c r="B56" s="36" t="str">
        <f aca="false">IF(A56="","",YEAR(A56)&amp;"-"&amp;TEXT(MONTH(A56),"00"))</f>
        <v/>
      </c>
      <c r="C56" s="34"/>
      <c r="D56" s="2"/>
      <c r="E56" s="35"/>
      <c r="F56" s="33"/>
      <c r="G56" s="34"/>
      <c r="H56" s="2"/>
      <c r="I56" s="2"/>
      <c r="J56" s="2"/>
      <c r="K56" s="2"/>
      <c r="L56" s="2"/>
      <c r="M56" s="2"/>
      <c r="N56" s="2"/>
      <c r="O56" s="2"/>
      <c r="P56" s="2"/>
      <c r="Q56" s="33"/>
      <c r="R56" s="34"/>
      <c r="S56" s="33"/>
    </row>
    <row r="57" customFormat="false" ht="15" hidden="false" customHeight="false" outlineLevel="0" collapsed="false">
      <c r="A57" s="35"/>
      <c r="B57" s="36" t="str">
        <f aca="false">IF(A57="","",YEAR(A57)&amp;"-"&amp;TEXT(MONTH(A57),"00"))</f>
        <v/>
      </c>
      <c r="C57" s="34"/>
      <c r="D57" s="2"/>
      <c r="E57" s="35"/>
      <c r="F57" s="33"/>
      <c r="G57" s="34"/>
      <c r="H57" s="2"/>
      <c r="I57" s="2"/>
      <c r="J57" s="2"/>
      <c r="K57" s="2"/>
      <c r="L57" s="2"/>
      <c r="M57" s="2"/>
      <c r="N57" s="2"/>
      <c r="O57" s="2"/>
      <c r="P57" s="2"/>
      <c r="Q57" s="33"/>
      <c r="R57" s="34"/>
      <c r="S57" s="33"/>
    </row>
    <row r="58" customFormat="false" ht="15" hidden="false" customHeight="false" outlineLevel="0" collapsed="false">
      <c r="A58" s="35"/>
      <c r="B58" s="36" t="str">
        <f aca="false">IF(A58="","",YEAR(A58)&amp;"-"&amp;TEXT(MONTH(A58),"00"))</f>
        <v/>
      </c>
      <c r="C58" s="34"/>
      <c r="D58" s="2"/>
      <c r="E58" s="35"/>
      <c r="F58" s="33"/>
      <c r="G58" s="34"/>
      <c r="H58" s="2"/>
      <c r="I58" s="2"/>
      <c r="J58" s="2"/>
      <c r="K58" s="2"/>
      <c r="L58" s="2"/>
      <c r="M58" s="2"/>
      <c r="N58" s="2"/>
      <c r="O58" s="2"/>
      <c r="P58" s="2"/>
      <c r="Q58" s="33"/>
      <c r="R58" s="34"/>
      <c r="S58" s="33"/>
    </row>
    <row r="59" customFormat="false" ht="15" hidden="false" customHeight="false" outlineLevel="0" collapsed="false">
      <c r="A59" s="35"/>
      <c r="B59" s="36" t="str">
        <f aca="false">IF(A59="","",YEAR(A59)&amp;"-"&amp;TEXT(MONTH(A59),"00"))</f>
        <v/>
      </c>
      <c r="C59" s="34"/>
      <c r="D59" s="2"/>
      <c r="E59" s="35"/>
      <c r="F59" s="33"/>
      <c r="G59" s="34"/>
      <c r="H59" s="2"/>
      <c r="I59" s="2"/>
      <c r="J59" s="2"/>
      <c r="K59" s="2"/>
      <c r="L59" s="2"/>
      <c r="M59" s="2"/>
      <c r="N59" s="2"/>
      <c r="O59" s="2"/>
      <c r="P59" s="2"/>
      <c r="Q59" s="33"/>
      <c r="R59" s="34"/>
      <c r="S59" s="33"/>
    </row>
    <row r="60" customFormat="false" ht="15" hidden="false" customHeight="false" outlineLevel="0" collapsed="false">
      <c r="A60" s="35"/>
      <c r="B60" s="36" t="str">
        <f aca="false">IF(A60="","",YEAR(A60)&amp;"-"&amp;TEXT(MONTH(A60),"00"))</f>
        <v/>
      </c>
      <c r="C60" s="34"/>
      <c r="D60" s="2"/>
      <c r="E60" s="35"/>
      <c r="F60" s="33"/>
      <c r="G60" s="34"/>
      <c r="H60" s="2"/>
      <c r="I60" s="2"/>
      <c r="J60" s="2"/>
      <c r="K60" s="2"/>
      <c r="L60" s="2"/>
      <c r="M60" s="2"/>
      <c r="N60" s="2"/>
      <c r="O60" s="2"/>
      <c r="P60" s="2"/>
      <c r="Q60" s="33"/>
      <c r="R60" s="34"/>
      <c r="S60" s="33"/>
    </row>
    <row r="61" customFormat="false" ht="15" hidden="false" customHeight="false" outlineLevel="0" collapsed="false">
      <c r="A61" s="35"/>
      <c r="B61" s="36" t="str">
        <f aca="false">IF(A61="","",YEAR(A61)&amp;"-"&amp;TEXT(MONTH(A61),"00"))</f>
        <v/>
      </c>
      <c r="C61" s="34"/>
      <c r="D61" s="2"/>
      <c r="E61" s="35"/>
      <c r="F61" s="33"/>
      <c r="G61" s="34"/>
      <c r="H61" s="2"/>
      <c r="I61" s="2"/>
      <c r="J61" s="2"/>
      <c r="K61" s="2"/>
      <c r="L61" s="2"/>
      <c r="M61" s="2"/>
      <c r="N61" s="2"/>
      <c r="O61" s="2"/>
      <c r="P61" s="2"/>
      <c r="Q61" s="33"/>
      <c r="R61" s="34"/>
      <c r="S61" s="33"/>
    </row>
    <row r="62" customFormat="false" ht="15" hidden="false" customHeight="false" outlineLevel="0" collapsed="false">
      <c r="A62" s="35"/>
      <c r="B62" s="36" t="str">
        <f aca="false">IF(A62="","",YEAR(A62)&amp;"-"&amp;TEXT(MONTH(A62),"00"))</f>
        <v/>
      </c>
      <c r="C62" s="34"/>
      <c r="D62" s="2"/>
      <c r="E62" s="35"/>
      <c r="F62" s="33"/>
      <c r="G62" s="34"/>
      <c r="H62" s="2"/>
      <c r="I62" s="2"/>
      <c r="J62" s="2"/>
      <c r="K62" s="2"/>
      <c r="L62" s="2"/>
      <c r="M62" s="2"/>
      <c r="N62" s="2"/>
      <c r="O62" s="2"/>
      <c r="P62" s="2"/>
      <c r="Q62" s="33"/>
      <c r="R62" s="34"/>
      <c r="S62" s="33"/>
    </row>
    <row r="63" customFormat="false" ht="15" hidden="false" customHeight="false" outlineLevel="0" collapsed="false">
      <c r="A63" s="35"/>
      <c r="B63" s="36" t="str">
        <f aca="false">IF(A63="","",YEAR(A63)&amp;"-"&amp;TEXT(MONTH(A63),"00"))</f>
        <v/>
      </c>
      <c r="C63" s="34"/>
      <c r="D63" s="2"/>
      <c r="E63" s="35"/>
      <c r="F63" s="33"/>
      <c r="G63" s="34"/>
      <c r="H63" s="2"/>
      <c r="I63" s="2"/>
      <c r="J63" s="2"/>
      <c r="K63" s="2"/>
      <c r="L63" s="2"/>
      <c r="M63" s="2"/>
      <c r="N63" s="2"/>
      <c r="O63" s="2"/>
      <c r="P63" s="2"/>
      <c r="Q63" s="33"/>
      <c r="R63" s="34"/>
      <c r="S63" s="33"/>
    </row>
    <row r="64" customFormat="false" ht="15" hidden="false" customHeight="false" outlineLevel="0" collapsed="false">
      <c r="A64" s="35"/>
      <c r="B64" s="36" t="str">
        <f aca="false">IF(A64="","",YEAR(A64)&amp;"-"&amp;TEXT(MONTH(A64),"00"))</f>
        <v/>
      </c>
      <c r="C64" s="34"/>
      <c r="D64" s="2"/>
      <c r="E64" s="35"/>
      <c r="F64" s="33"/>
      <c r="G64" s="34"/>
      <c r="H64" s="2"/>
      <c r="I64" s="2"/>
      <c r="J64" s="2"/>
      <c r="K64" s="2"/>
      <c r="L64" s="2"/>
      <c r="M64" s="2"/>
      <c r="N64" s="2"/>
      <c r="O64" s="2"/>
      <c r="P64" s="2"/>
      <c r="Q64" s="33"/>
      <c r="R64" s="34"/>
      <c r="S64" s="33"/>
    </row>
    <row r="65" customFormat="false" ht="15" hidden="false" customHeight="false" outlineLevel="0" collapsed="false">
      <c r="A65" s="35"/>
      <c r="B65" s="36" t="str">
        <f aca="false">IF(A65="","",YEAR(A65)&amp;"-"&amp;TEXT(MONTH(A65),"00"))</f>
        <v/>
      </c>
      <c r="C65" s="34"/>
      <c r="D65" s="2"/>
      <c r="E65" s="35"/>
      <c r="F65" s="33"/>
      <c r="G65" s="34"/>
      <c r="H65" s="2"/>
      <c r="I65" s="2"/>
      <c r="J65" s="2"/>
      <c r="K65" s="2"/>
      <c r="L65" s="2"/>
      <c r="M65" s="2"/>
      <c r="N65" s="2"/>
      <c r="O65" s="2"/>
      <c r="P65" s="2"/>
      <c r="Q65" s="33"/>
      <c r="R65" s="34"/>
      <c r="S65" s="33"/>
    </row>
    <row r="66" customFormat="false" ht="15" hidden="false" customHeight="false" outlineLevel="0" collapsed="false">
      <c r="A66" s="35"/>
      <c r="B66" s="36" t="str">
        <f aca="false">IF(A66="","",YEAR(A66)&amp;"-"&amp;TEXT(MONTH(A66),"00"))</f>
        <v/>
      </c>
      <c r="C66" s="34"/>
      <c r="D66" s="2"/>
      <c r="E66" s="35"/>
      <c r="F66" s="33"/>
      <c r="G66" s="34"/>
      <c r="H66" s="2"/>
      <c r="I66" s="2"/>
      <c r="J66" s="2"/>
      <c r="K66" s="2"/>
      <c r="L66" s="2"/>
      <c r="M66" s="2"/>
      <c r="N66" s="2"/>
      <c r="O66" s="2"/>
      <c r="P66" s="2"/>
      <c r="Q66" s="33"/>
      <c r="R66" s="34"/>
      <c r="S66" s="33"/>
    </row>
    <row r="67" customFormat="false" ht="15" hidden="false" customHeight="false" outlineLevel="0" collapsed="false">
      <c r="A67" s="35"/>
      <c r="B67" s="36" t="str">
        <f aca="false">IF(A67="","",YEAR(A67)&amp;"-"&amp;TEXT(MONTH(A67),"00"))</f>
        <v/>
      </c>
      <c r="C67" s="34"/>
      <c r="D67" s="2"/>
      <c r="E67" s="35"/>
      <c r="F67" s="33"/>
      <c r="G67" s="34"/>
      <c r="H67" s="2"/>
      <c r="I67" s="2"/>
      <c r="J67" s="2"/>
      <c r="K67" s="2"/>
      <c r="L67" s="2"/>
      <c r="M67" s="2"/>
      <c r="N67" s="2"/>
      <c r="O67" s="2"/>
      <c r="P67" s="2"/>
      <c r="Q67" s="33"/>
      <c r="R67" s="34"/>
      <c r="S67" s="33"/>
    </row>
    <row r="68" customFormat="false" ht="15" hidden="false" customHeight="false" outlineLevel="0" collapsed="false">
      <c r="A68" s="35"/>
      <c r="B68" s="36" t="str">
        <f aca="false">IF(A68="","",YEAR(A68)&amp;"-"&amp;TEXT(MONTH(A68),"00"))</f>
        <v/>
      </c>
      <c r="C68" s="34"/>
      <c r="D68" s="2"/>
      <c r="E68" s="35"/>
      <c r="F68" s="33"/>
      <c r="G68" s="34"/>
      <c r="H68" s="2"/>
      <c r="I68" s="2"/>
      <c r="J68" s="2"/>
      <c r="K68" s="2"/>
      <c r="L68" s="2"/>
      <c r="M68" s="2"/>
      <c r="N68" s="2"/>
      <c r="O68" s="2"/>
      <c r="P68" s="2"/>
      <c r="Q68" s="33"/>
      <c r="R68" s="34"/>
      <c r="S68" s="33"/>
    </row>
    <row r="69" customFormat="false" ht="15" hidden="false" customHeight="false" outlineLevel="0" collapsed="false">
      <c r="A69" s="35"/>
      <c r="B69" s="36" t="str">
        <f aca="false">IF(A69="","",YEAR(A69)&amp;"-"&amp;TEXT(MONTH(A69),"00"))</f>
        <v/>
      </c>
      <c r="C69" s="34"/>
      <c r="D69" s="2"/>
      <c r="E69" s="35"/>
      <c r="F69" s="33"/>
      <c r="G69" s="34"/>
      <c r="H69" s="2"/>
      <c r="I69" s="2"/>
      <c r="J69" s="2"/>
      <c r="K69" s="2"/>
      <c r="L69" s="2"/>
      <c r="M69" s="2"/>
      <c r="N69" s="2"/>
      <c r="O69" s="2"/>
      <c r="P69" s="2"/>
      <c r="Q69" s="33"/>
      <c r="R69" s="34"/>
      <c r="S69" s="33"/>
    </row>
    <row r="70" customFormat="false" ht="15" hidden="false" customHeight="false" outlineLevel="0" collapsed="false">
      <c r="A70" s="35"/>
      <c r="B70" s="36" t="str">
        <f aca="false">IF(A70="","",YEAR(A70)&amp;"-"&amp;TEXT(MONTH(A70),"00"))</f>
        <v/>
      </c>
      <c r="C70" s="34"/>
      <c r="D70" s="2"/>
      <c r="E70" s="35"/>
      <c r="F70" s="33"/>
      <c r="G70" s="34"/>
      <c r="H70" s="2"/>
      <c r="I70" s="2"/>
      <c r="J70" s="2"/>
      <c r="K70" s="2"/>
      <c r="L70" s="2"/>
      <c r="M70" s="2"/>
      <c r="N70" s="2"/>
      <c r="O70" s="2"/>
      <c r="P70" s="2"/>
      <c r="Q70" s="33"/>
      <c r="R70" s="34"/>
      <c r="S70" s="33"/>
    </row>
    <row r="71" customFormat="false" ht="15" hidden="false" customHeight="false" outlineLevel="0" collapsed="false">
      <c r="A71" s="35"/>
      <c r="B71" s="36" t="str">
        <f aca="false">IF(A71="","",YEAR(A71)&amp;"-"&amp;TEXT(MONTH(A71),"00"))</f>
        <v/>
      </c>
      <c r="C71" s="34"/>
      <c r="D71" s="2"/>
      <c r="E71" s="35"/>
      <c r="F71" s="33"/>
      <c r="G71" s="34"/>
      <c r="H71" s="2"/>
      <c r="I71" s="2"/>
      <c r="J71" s="2"/>
      <c r="K71" s="2"/>
      <c r="L71" s="2"/>
      <c r="M71" s="2"/>
      <c r="N71" s="2"/>
      <c r="O71" s="2"/>
      <c r="P71" s="2"/>
      <c r="Q71" s="33"/>
      <c r="R71" s="34"/>
      <c r="S71" s="33"/>
    </row>
    <row r="72" customFormat="false" ht="15" hidden="false" customHeight="false" outlineLevel="0" collapsed="false">
      <c r="A72" s="35"/>
      <c r="B72" s="36" t="str">
        <f aca="false">IF(A72="","",YEAR(A72)&amp;"-"&amp;TEXT(MONTH(A72),"00"))</f>
        <v/>
      </c>
      <c r="C72" s="34"/>
      <c r="D72" s="2"/>
      <c r="E72" s="35"/>
      <c r="F72" s="33"/>
      <c r="G72" s="34"/>
      <c r="H72" s="2"/>
      <c r="I72" s="2"/>
      <c r="J72" s="2"/>
      <c r="K72" s="2"/>
      <c r="L72" s="2"/>
      <c r="M72" s="2"/>
      <c r="N72" s="2"/>
      <c r="O72" s="2"/>
      <c r="P72" s="2"/>
      <c r="Q72" s="33"/>
      <c r="R72" s="34"/>
      <c r="S72" s="33"/>
    </row>
    <row r="73" customFormat="false" ht="15" hidden="false" customHeight="false" outlineLevel="0" collapsed="false">
      <c r="A73" s="35"/>
      <c r="B73" s="36" t="str">
        <f aca="false">IF(A73="","",YEAR(A73)&amp;"-"&amp;TEXT(MONTH(A73),"00"))</f>
        <v/>
      </c>
      <c r="C73" s="34"/>
      <c r="D73" s="2"/>
      <c r="E73" s="35"/>
      <c r="F73" s="33"/>
      <c r="G73" s="34"/>
      <c r="H73" s="2"/>
      <c r="I73" s="2"/>
      <c r="J73" s="2"/>
      <c r="K73" s="2"/>
      <c r="L73" s="2"/>
      <c r="M73" s="2"/>
      <c r="N73" s="2"/>
      <c r="O73" s="2"/>
      <c r="P73" s="2"/>
      <c r="Q73" s="33"/>
      <c r="R73" s="34"/>
      <c r="S73" s="33"/>
    </row>
    <row r="74" customFormat="false" ht="15" hidden="false" customHeight="false" outlineLevel="0" collapsed="false">
      <c r="A74" s="35"/>
      <c r="B74" s="36" t="str">
        <f aca="false">IF(A74="","",YEAR(A74)&amp;"-"&amp;TEXT(MONTH(A74),"00"))</f>
        <v/>
      </c>
      <c r="C74" s="34"/>
      <c r="D74" s="2"/>
      <c r="E74" s="35"/>
      <c r="F74" s="33"/>
      <c r="G74" s="34"/>
      <c r="H74" s="2"/>
      <c r="I74" s="2"/>
      <c r="J74" s="2"/>
      <c r="K74" s="2"/>
      <c r="L74" s="2"/>
      <c r="M74" s="2"/>
      <c r="N74" s="2"/>
      <c r="O74" s="2"/>
      <c r="P74" s="2"/>
      <c r="Q74" s="33"/>
      <c r="R74" s="34"/>
      <c r="S74" s="33"/>
    </row>
    <row r="75" customFormat="false" ht="15" hidden="false" customHeight="false" outlineLevel="0" collapsed="false">
      <c r="A75" s="35"/>
      <c r="B75" s="36" t="str">
        <f aca="false">IF(A75="","",YEAR(A75)&amp;"-"&amp;TEXT(MONTH(A75),"00"))</f>
        <v/>
      </c>
      <c r="C75" s="34"/>
      <c r="D75" s="2"/>
      <c r="E75" s="35"/>
      <c r="F75" s="33"/>
      <c r="G75" s="34"/>
      <c r="H75" s="2"/>
      <c r="I75" s="2"/>
      <c r="J75" s="2"/>
      <c r="K75" s="2"/>
      <c r="L75" s="2"/>
      <c r="M75" s="2"/>
      <c r="N75" s="2"/>
      <c r="O75" s="2"/>
      <c r="P75" s="2"/>
      <c r="Q75" s="33"/>
      <c r="R75" s="34"/>
      <c r="S75" s="33"/>
    </row>
    <row r="76" customFormat="false" ht="15" hidden="false" customHeight="false" outlineLevel="0" collapsed="false">
      <c r="A76" s="35"/>
      <c r="B76" s="36" t="str">
        <f aca="false">IF(A76="","",YEAR(A76)&amp;"-"&amp;TEXT(MONTH(A76),"00"))</f>
        <v/>
      </c>
      <c r="C76" s="34"/>
      <c r="D76" s="2"/>
      <c r="E76" s="35"/>
      <c r="F76" s="33"/>
      <c r="G76" s="34"/>
      <c r="H76" s="2"/>
      <c r="I76" s="2"/>
      <c r="J76" s="2"/>
      <c r="K76" s="2"/>
      <c r="L76" s="2"/>
      <c r="M76" s="2"/>
      <c r="N76" s="2"/>
      <c r="O76" s="2"/>
      <c r="P76" s="2"/>
      <c r="Q76" s="33"/>
      <c r="R76" s="34"/>
      <c r="S76" s="33"/>
    </row>
    <row r="77" customFormat="false" ht="15" hidden="false" customHeight="false" outlineLevel="0" collapsed="false">
      <c r="A77" s="35"/>
      <c r="B77" s="36" t="str">
        <f aca="false">IF(A77="","",YEAR(A77)&amp;"-"&amp;TEXT(MONTH(A77),"00"))</f>
        <v/>
      </c>
      <c r="C77" s="34"/>
      <c r="D77" s="2"/>
      <c r="E77" s="35"/>
      <c r="F77" s="33"/>
      <c r="G77" s="34"/>
      <c r="H77" s="2"/>
      <c r="I77" s="2"/>
      <c r="J77" s="2"/>
      <c r="K77" s="2"/>
      <c r="L77" s="2"/>
      <c r="M77" s="2"/>
      <c r="N77" s="2"/>
      <c r="O77" s="2"/>
      <c r="P77" s="2"/>
      <c r="Q77" s="33"/>
      <c r="R77" s="34"/>
      <c r="S77" s="33"/>
    </row>
    <row r="78" customFormat="false" ht="15" hidden="false" customHeight="false" outlineLevel="0" collapsed="false">
      <c r="A78" s="35"/>
      <c r="B78" s="36" t="str">
        <f aca="false">IF(A78="","",YEAR(A78)&amp;"-"&amp;TEXT(MONTH(A78),"00"))</f>
        <v/>
      </c>
      <c r="C78" s="34"/>
      <c r="D78" s="2"/>
      <c r="E78" s="35"/>
      <c r="F78" s="33"/>
      <c r="G78" s="34"/>
      <c r="H78" s="2"/>
      <c r="I78" s="2"/>
      <c r="J78" s="2"/>
      <c r="K78" s="2"/>
      <c r="L78" s="2"/>
      <c r="M78" s="2"/>
      <c r="N78" s="2"/>
      <c r="O78" s="2"/>
      <c r="P78" s="2"/>
      <c r="Q78" s="33"/>
      <c r="R78" s="34"/>
      <c r="S78" s="33"/>
    </row>
    <row r="79" customFormat="false" ht="15" hidden="false" customHeight="false" outlineLevel="0" collapsed="false">
      <c r="A79" s="35"/>
      <c r="B79" s="36" t="str">
        <f aca="false">IF(A79="","",YEAR(A79)&amp;"-"&amp;TEXT(MONTH(A79),"00"))</f>
        <v/>
      </c>
      <c r="C79" s="34"/>
      <c r="D79" s="2"/>
      <c r="E79" s="35"/>
      <c r="F79" s="33"/>
      <c r="G79" s="34"/>
      <c r="H79" s="2"/>
      <c r="I79" s="2"/>
      <c r="J79" s="2"/>
      <c r="K79" s="2"/>
      <c r="L79" s="2"/>
      <c r="M79" s="2"/>
      <c r="N79" s="2"/>
      <c r="O79" s="2"/>
      <c r="P79" s="2"/>
      <c r="Q79" s="33"/>
      <c r="R79" s="34"/>
      <c r="S79" s="33"/>
    </row>
    <row r="80" customFormat="false" ht="15" hidden="false" customHeight="false" outlineLevel="0" collapsed="false">
      <c r="A80" s="35"/>
      <c r="B80" s="36" t="str">
        <f aca="false">IF(A80="","",YEAR(A80)&amp;"-"&amp;TEXT(MONTH(A80),"00"))</f>
        <v/>
      </c>
      <c r="C80" s="34"/>
      <c r="D80" s="2"/>
      <c r="E80" s="35"/>
      <c r="F80" s="33"/>
      <c r="G80" s="34"/>
      <c r="H80" s="2"/>
      <c r="I80" s="2"/>
      <c r="J80" s="2"/>
      <c r="K80" s="2"/>
      <c r="L80" s="2"/>
      <c r="M80" s="2"/>
      <c r="N80" s="2"/>
      <c r="O80" s="2"/>
      <c r="P80" s="2"/>
      <c r="Q80" s="33"/>
      <c r="R80" s="34"/>
      <c r="S80" s="33"/>
    </row>
    <row r="81" customFormat="false" ht="15" hidden="false" customHeight="false" outlineLevel="0" collapsed="false">
      <c r="A81" s="35"/>
      <c r="B81" s="36" t="str">
        <f aca="false">IF(A81="","",YEAR(A81)&amp;"-"&amp;TEXT(MONTH(A81),"00"))</f>
        <v/>
      </c>
      <c r="C81" s="34"/>
      <c r="D81" s="2"/>
      <c r="E81" s="35"/>
      <c r="F81" s="33"/>
      <c r="G81" s="34"/>
      <c r="H81" s="2"/>
      <c r="I81" s="2"/>
      <c r="J81" s="2"/>
      <c r="K81" s="2"/>
      <c r="L81" s="2"/>
      <c r="M81" s="2"/>
      <c r="N81" s="2"/>
      <c r="O81" s="2"/>
      <c r="P81" s="2"/>
      <c r="Q81" s="33"/>
      <c r="R81" s="34"/>
      <c r="S81" s="33"/>
    </row>
    <row r="82" customFormat="false" ht="15" hidden="false" customHeight="false" outlineLevel="0" collapsed="false">
      <c r="A82" s="35"/>
      <c r="B82" s="36" t="str">
        <f aca="false">IF(A82="","",YEAR(A82)&amp;"-"&amp;TEXT(MONTH(A82),"00"))</f>
        <v/>
      </c>
      <c r="C82" s="34"/>
      <c r="D82" s="2"/>
      <c r="E82" s="35"/>
      <c r="F82" s="33"/>
      <c r="G82" s="34"/>
      <c r="H82" s="2"/>
      <c r="I82" s="2"/>
      <c r="J82" s="2"/>
      <c r="K82" s="2"/>
      <c r="L82" s="2"/>
      <c r="M82" s="2"/>
      <c r="N82" s="2"/>
      <c r="O82" s="2"/>
      <c r="P82" s="2"/>
      <c r="Q82" s="33"/>
      <c r="R82" s="34"/>
      <c r="S82" s="33"/>
    </row>
    <row r="83" customFormat="false" ht="15" hidden="false" customHeight="false" outlineLevel="0" collapsed="false">
      <c r="A83" s="35"/>
      <c r="B83" s="36" t="str">
        <f aca="false">IF(A83="","",YEAR(A83)&amp;"-"&amp;TEXT(MONTH(A83),"00"))</f>
        <v/>
      </c>
      <c r="C83" s="34"/>
      <c r="D83" s="2"/>
      <c r="E83" s="35"/>
      <c r="F83" s="33"/>
      <c r="G83" s="34"/>
      <c r="H83" s="2"/>
      <c r="I83" s="2"/>
      <c r="J83" s="2"/>
      <c r="K83" s="2"/>
      <c r="L83" s="2"/>
      <c r="M83" s="2"/>
      <c r="N83" s="2"/>
      <c r="O83" s="2"/>
      <c r="P83" s="2"/>
      <c r="Q83" s="33"/>
      <c r="R83" s="34"/>
      <c r="S83" s="33"/>
    </row>
    <row r="84" customFormat="false" ht="15" hidden="false" customHeight="false" outlineLevel="0" collapsed="false">
      <c r="A84" s="35"/>
      <c r="B84" s="36" t="str">
        <f aca="false">IF(A84="","",YEAR(A84)&amp;"-"&amp;TEXT(MONTH(A84),"00"))</f>
        <v/>
      </c>
      <c r="C84" s="34"/>
      <c r="D84" s="2"/>
      <c r="E84" s="35"/>
      <c r="F84" s="33"/>
      <c r="G84" s="34"/>
      <c r="H84" s="2"/>
      <c r="I84" s="2"/>
      <c r="J84" s="2"/>
      <c r="K84" s="2"/>
      <c r="L84" s="2"/>
      <c r="M84" s="2"/>
      <c r="N84" s="2"/>
      <c r="O84" s="2"/>
      <c r="P84" s="2"/>
      <c r="Q84" s="33"/>
      <c r="R84" s="34"/>
      <c r="S84" s="33"/>
    </row>
    <row r="85" customFormat="false" ht="15" hidden="false" customHeight="false" outlineLevel="0" collapsed="false">
      <c r="A85" s="35"/>
      <c r="B85" s="36" t="str">
        <f aca="false">IF(A85="","",YEAR(A85)&amp;"-"&amp;TEXT(MONTH(A85),"00"))</f>
        <v/>
      </c>
      <c r="C85" s="34"/>
      <c r="D85" s="2"/>
      <c r="E85" s="35"/>
      <c r="F85" s="33"/>
      <c r="G85" s="34"/>
      <c r="H85" s="2"/>
      <c r="I85" s="2"/>
      <c r="J85" s="2"/>
      <c r="K85" s="2"/>
      <c r="L85" s="2"/>
      <c r="M85" s="2"/>
      <c r="N85" s="2"/>
      <c r="O85" s="2"/>
      <c r="P85" s="2"/>
      <c r="Q85" s="33"/>
      <c r="R85" s="34"/>
      <c r="S85" s="33"/>
    </row>
    <row r="86" customFormat="false" ht="15" hidden="false" customHeight="false" outlineLevel="0" collapsed="false">
      <c r="A86" s="35"/>
      <c r="B86" s="36" t="str">
        <f aca="false">IF(A86="","",YEAR(A86)&amp;"-"&amp;TEXT(MONTH(A86),"00"))</f>
        <v/>
      </c>
      <c r="C86" s="34"/>
      <c r="D86" s="2"/>
      <c r="E86" s="35"/>
      <c r="F86" s="33"/>
      <c r="G86" s="34"/>
      <c r="H86" s="2"/>
      <c r="I86" s="2"/>
      <c r="J86" s="2"/>
      <c r="K86" s="2"/>
      <c r="L86" s="2"/>
      <c r="M86" s="2"/>
      <c r="N86" s="2"/>
      <c r="O86" s="2"/>
      <c r="P86" s="2"/>
      <c r="Q86" s="33"/>
      <c r="R86" s="34"/>
      <c r="S86" s="33"/>
    </row>
    <row r="87" customFormat="false" ht="15" hidden="false" customHeight="false" outlineLevel="0" collapsed="false">
      <c r="A87" s="35"/>
      <c r="B87" s="36" t="str">
        <f aca="false">IF(A87="","",YEAR(A87)&amp;"-"&amp;TEXT(MONTH(A87),"00"))</f>
        <v/>
      </c>
      <c r="C87" s="34"/>
      <c r="D87" s="2"/>
      <c r="E87" s="35"/>
      <c r="F87" s="33"/>
      <c r="G87" s="34"/>
      <c r="H87" s="2"/>
      <c r="I87" s="2"/>
      <c r="J87" s="2"/>
      <c r="K87" s="2"/>
      <c r="L87" s="2"/>
      <c r="M87" s="2"/>
      <c r="N87" s="2"/>
      <c r="O87" s="2"/>
      <c r="P87" s="2"/>
      <c r="Q87" s="33"/>
      <c r="R87" s="34"/>
      <c r="S87" s="33"/>
    </row>
    <row r="88" customFormat="false" ht="15" hidden="false" customHeight="false" outlineLevel="0" collapsed="false">
      <c r="A88" s="35"/>
      <c r="B88" s="36" t="str">
        <f aca="false">IF(A88="","",YEAR(A88)&amp;"-"&amp;TEXT(MONTH(A88),"00"))</f>
        <v/>
      </c>
      <c r="C88" s="34"/>
      <c r="D88" s="2"/>
      <c r="E88" s="35"/>
      <c r="F88" s="33"/>
      <c r="G88" s="34"/>
      <c r="H88" s="2"/>
      <c r="I88" s="2"/>
      <c r="J88" s="2"/>
      <c r="K88" s="2"/>
      <c r="L88" s="2"/>
      <c r="M88" s="2"/>
      <c r="N88" s="2"/>
      <c r="O88" s="2"/>
      <c r="P88" s="2"/>
      <c r="Q88" s="33"/>
      <c r="R88" s="34"/>
      <c r="S88" s="33"/>
    </row>
    <row r="89" customFormat="false" ht="15" hidden="false" customHeight="false" outlineLevel="0" collapsed="false">
      <c r="A89" s="35"/>
      <c r="B89" s="36" t="str">
        <f aca="false">IF(A89="","",YEAR(A89)&amp;"-"&amp;TEXT(MONTH(A89),"00"))</f>
        <v/>
      </c>
      <c r="C89" s="34"/>
      <c r="D89" s="2"/>
      <c r="E89" s="35"/>
      <c r="F89" s="33"/>
      <c r="G89" s="34"/>
      <c r="H89" s="2"/>
      <c r="I89" s="2"/>
      <c r="J89" s="2"/>
      <c r="K89" s="2"/>
      <c r="L89" s="2"/>
      <c r="M89" s="2"/>
      <c r="N89" s="2"/>
      <c r="O89" s="2"/>
      <c r="P89" s="2"/>
      <c r="Q89" s="33"/>
      <c r="R89" s="34"/>
      <c r="S89" s="33"/>
    </row>
    <row r="90" customFormat="false" ht="15" hidden="false" customHeight="false" outlineLevel="0" collapsed="false">
      <c r="A90" s="35"/>
      <c r="B90" s="36" t="str">
        <f aca="false">IF(A90="","",YEAR(A90)&amp;"-"&amp;TEXT(MONTH(A90),"00"))</f>
        <v/>
      </c>
      <c r="C90" s="34"/>
      <c r="D90" s="2"/>
      <c r="E90" s="35"/>
      <c r="F90" s="33"/>
      <c r="G90" s="34"/>
      <c r="H90" s="2"/>
      <c r="I90" s="2"/>
      <c r="J90" s="2"/>
      <c r="K90" s="2"/>
      <c r="L90" s="2"/>
      <c r="M90" s="2"/>
      <c r="N90" s="2"/>
      <c r="O90" s="2"/>
      <c r="P90" s="2"/>
      <c r="Q90" s="33"/>
      <c r="R90" s="34"/>
      <c r="S90" s="33"/>
    </row>
    <row r="91" customFormat="false" ht="15" hidden="false" customHeight="false" outlineLevel="0" collapsed="false">
      <c r="A91" s="35"/>
      <c r="B91" s="36" t="str">
        <f aca="false">IF(A91="","",YEAR(A91)&amp;"-"&amp;TEXT(MONTH(A91),"00"))</f>
        <v/>
      </c>
      <c r="C91" s="34"/>
      <c r="D91" s="2"/>
      <c r="E91" s="35"/>
      <c r="F91" s="33"/>
      <c r="G91" s="34"/>
      <c r="H91" s="2"/>
      <c r="I91" s="2"/>
      <c r="J91" s="2"/>
      <c r="K91" s="2"/>
      <c r="L91" s="2"/>
      <c r="M91" s="2"/>
      <c r="N91" s="2"/>
      <c r="O91" s="2"/>
      <c r="P91" s="2"/>
      <c r="Q91" s="33"/>
      <c r="R91" s="34"/>
      <c r="S91" s="33"/>
    </row>
    <row r="92" customFormat="false" ht="15" hidden="false" customHeight="false" outlineLevel="0" collapsed="false">
      <c r="A92" s="35"/>
      <c r="B92" s="36" t="str">
        <f aca="false">IF(A92="","",YEAR(A92)&amp;"-"&amp;TEXT(MONTH(A92),"00"))</f>
        <v/>
      </c>
      <c r="C92" s="34"/>
      <c r="D92" s="2"/>
      <c r="E92" s="35"/>
      <c r="F92" s="33"/>
      <c r="G92" s="34"/>
      <c r="H92" s="2"/>
      <c r="I92" s="2"/>
      <c r="J92" s="2"/>
      <c r="K92" s="2"/>
      <c r="L92" s="2"/>
      <c r="M92" s="2"/>
      <c r="N92" s="2"/>
      <c r="O92" s="2"/>
      <c r="P92" s="2"/>
      <c r="Q92" s="33"/>
      <c r="R92" s="34"/>
      <c r="S92" s="33"/>
    </row>
    <row r="93" customFormat="false" ht="15" hidden="false" customHeight="false" outlineLevel="0" collapsed="false">
      <c r="A93" s="35"/>
      <c r="B93" s="36" t="str">
        <f aca="false">IF(A93="","",YEAR(A93)&amp;"-"&amp;TEXT(MONTH(A93),"00"))</f>
        <v/>
      </c>
      <c r="C93" s="34"/>
      <c r="D93" s="2"/>
      <c r="E93" s="35"/>
      <c r="F93" s="33"/>
      <c r="G93" s="34"/>
      <c r="H93" s="2"/>
      <c r="I93" s="2"/>
      <c r="J93" s="2"/>
      <c r="K93" s="2"/>
      <c r="L93" s="2"/>
      <c r="M93" s="2"/>
      <c r="N93" s="2"/>
      <c r="O93" s="2"/>
      <c r="P93" s="2"/>
      <c r="Q93" s="33"/>
      <c r="R93" s="34"/>
      <c r="S93" s="33"/>
    </row>
    <row r="94" customFormat="false" ht="15" hidden="false" customHeight="false" outlineLevel="0" collapsed="false">
      <c r="A94" s="35"/>
      <c r="B94" s="36" t="str">
        <f aca="false">IF(A94="","",YEAR(A94)&amp;"-"&amp;TEXT(MONTH(A94),"00"))</f>
        <v/>
      </c>
      <c r="C94" s="34"/>
      <c r="D94" s="2"/>
      <c r="E94" s="35"/>
      <c r="F94" s="33"/>
      <c r="G94" s="34"/>
      <c r="H94" s="2"/>
      <c r="I94" s="2"/>
      <c r="J94" s="2"/>
      <c r="K94" s="2"/>
      <c r="L94" s="2"/>
      <c r="M94" s="2"/>
      <c r="N94" s="2"/>
      <c r="O94" s="2"/>
      <c r="P94" s="2"/>
      <c r="Q94" s="33"/>
      <c r="R94" s="34"/>
      <c r="S94" s="33"/>
    </row>
    <row r="95" customFormat="false" ht="15" hidden="false" customHeight="false" outlineLevel="0" collapsed="false">
      <c r="A95" s="35"/>
      <c r="B95" s="36" t="str">
        <f aca="false">IF(A95="","",YEAR(A95)&amp;"-"&amp;TEXT(MONTH(A95),"00"))</f>
        <v/>
      </c>
      <c r="C95" s="34"/>
      <c r="D95" s="2"/>
      <c r="E95" s="35"/>
      <c r="F95" s="33"/>
      <c r="G95" s="34"/>
      <c r="H95" s="2"/>
      <c r="I95" s="2"/>
      <c r="J95" s="2"/>
      <c r="K95" s="2"/>
      <c r="L95" s="2"/>
      <c r="M95" s="2"/>
      <c r="N95" s="2"/>
      <c r="O95" s="2"/>
      <c r="P95" s="2"/>
      <c r="Q95" s="33"/>
      <c r="R95" s="34"/>
      <c r="S95" s="33"/>
    </row>
    <row r="96" customFormat="false" ht="15" hidden="false" customHeight="false" outlineLevel="0" collapsed="false">
      <c r="A96" s="35"/>
      <c r="B96" s="36" t="str">
        <f aca="false">IF(A96="","",YEAR(A96)&amp;"-"&amp;TEXT(MONTH(A96),"00"))</f>
        <v/>
      </c>
      <c r="C96" s="34"/>
      <c r="D96" s="2"/>
      <c r="E96" s="35"/>
      <c r="F96" s="33"/>
      <c r="G96" s="34"/>
      <c r="H96" s="2"/>
      <c r="I96" s="2"/>
      <c r="J96" s="2"/>
      <c r="K96" s="2"/>
      <c r="L96" s="2"/>
      <c r="M96" s="2"/>
      <c r="N96" s="2"/>
      <c r="O96" s="2"/>
      <c r="P96" s="2"/>
      <c r="Q96" s="33"/>
      <c r="R96" s="34"/>
      <c r="S96" s="33"/>
    </row>
    <row r="97" customFormat="false" ht="15" hidden="false" customHeight="false" outlineLevel="0" collapsed="false">
      <c r="A97" s="35"/>
      <c r="B97" s="36" t="str">
        <f aca="false">IF(A97="","",YEAR(A97)&amp;"-"&amp;TEXT(MONTH(A97),"00"))</f>
        <v/>
      </c>
      <c r="C97" s="34"/>
      <c r="D97" s="2"/>
      <c r="E97" s="35"/>
      <c r="F97" s="33"/>
      <c r="G97" s="34"/>
      <c r="H97" s="2"/>
      <c r="I97" s="2"/>
      <c r="J97" s="2"/>
      <c r="K97" s="2"/>
      <c r="L97" s="2"/>
      <c r="M97" s="2"/>
      <c r="N97" s="2"/>
      <c r="O97" s="2"/>
      <c r="P97" s="2"/>
      <c r="Q97" s="33"/>
      <c r="R97" s="34"/>
      <c r="S97" s="33"/>
    </row>
    <row r="98" customFormat="false" ht="15" hidden="false" customHeight="false" outlineLevel="0" collapsed="false">
      <c r="A98" s="35"/>
      <c r="B98" s="36" t="str">
        <f aca="false">IF(A98="","",YEAR(A98)&amp;"-"&amp;TEXT(MONTH(A98),"00"))</f>
        <v/>
      </c>
      <c r="C98" s="34"/>
      <c r="D98" s="2"/>
      <c r="E98" s="35"/>
      <c r="F98" s="33"/>
      <c r="G98" s="34"/>
      <c r="H98" s="2"/>
      <c r="I98" s="2"/>
      <c r="J98" s="2"/>
      <c r="K98" s="2"/>
      <c r="L98" s="2"/>
      <c r="M98" s="2"/>
      <c r="N98" s="2"/>
      <c r="O98" s="2"/>
      <c r="P98" s="2"/>
      <c r="Q98" s="33"/>
      <c r="R98" s="34"/>
      <c r="S98" s="33"/>
    </row>
    <row r="99" customFormat="false" ht="15" hidden="false" customHeight="false" outlineLevel="0" collapsed="false">
      <c r="A99" s="35"/>
      <c r="B99" s="36" t="str">
        <f aca="false">IF(A99="","",YEAR(A99)&amp;"-"&amp;TEXT(MONTH(A99),"00"))</f>
        <v/>
      </c>
      <c r="C99" s="34"/>
      <c r="D99" s="2"/>
      <c r="E99" s="35"/>
      <c r="F99" s="33"/>
      <c r="G99" s="34"/>
      <c r="H99" s="2"/>
      <c r="I99" s="2"/>
      <c r="J99" s="2"/>
      <c r="K99" s="2"/>
      <c r="L99" s="2"/>
      <c r="M99" s="2"/>
      <c r="N99" s="2"/>
      <c r="O99" s="2"/>
      <c r="P99" s="2"/>
      <c r="Q99" s="33"/>
      <c r="R99" s="34"/>
      <c r="S99" s="33"/>
    </row>
    <row r="100" customFormat="false" ht="15" hidden="false" customHeight="false" outlineLevel="0" collapsed="false">
      <c r="A100" s="35"/>
      <c r="B100" s="36" t="str">
        <f aca="false">IF(A100="","",YEAR(A100)&amp;"-"&amp;TEXT(MONTH(A100),"00"))</f>
        <v/>
      </c>
      <c r="C100" s="34"/>
      <c r="D100" s="2"/>
      <c r="E100" s="35"/>
      <c r="F100" s="33"/>
      <c r="G100" s="34"/>
      <c r="H100" s="2"/>
      <c r="I100" s="2"/>
      <c r="J100" s="2"/>
      <c r="K100" s="2"/>
      <c r="L100" s="2"/>
      <c r="M100" s="2"/>
      <c r="N100" s="2"/>
      <c r="O100" s="2"/>
      <c r="P100" s="2"/>
      <c r="Q100" s="33"/>
      <c r="R100" s="34"/>
      <c r="S100" s="33"/>
    </row>
    <row r="101" customFormat="false" ht="15" hidden="false" customHeight="false" outlineLevel="0" collapsed="false">
      <c r="A101" s="35"/>
      <c r="B101" s="36" t="str">
        <f aca="false">IF(A101="","",YEAR(A101)&amp;"-"&amp;TEXT(MONTH(A101),"00"))</f>
        <v/>
      </c>
      <c r="C101" s="34"/>
      <c r="D101" s="2"/>
      <c r="E101" s="35"/>
      <c r="F101" s="33"/>
      <c r="G101" s="34"/>
      <c r="H101" s="2"/>
      <c r="I101" s="2"/>
      <c r="J101" s="2"/>
      <c r="K101" s="2"/>
      <c r="L101" s="2"/>
      <c r="M101" s="2"/>
      <c r="N101" s="2"/>
      <c r="O101" s="2"/>
      <c r="P101" s="2"/>
      <c r="Q101" s="33"/>
      <c r="R101" s="34"/>
      <c r="S101" s="33"/>
    </row>
    <row r="102" customFormat="false" ht="15" hidden="false" customHeight="false" outlineLevel="0" collapsed="false">
      <c r="A102" s="35"/>
      <c r="B102" s="36" t="str">
        <f aca="false">IF(A102="","",YEAR(A102)&amp;"-"&amp;TEXT(MONTH(A102),"00"))</f>
        <v/>
      </c>
      <c r="C102" s="34"/>
      <c r="D102" s="2"/>
      <c r="E102" s="35"/>
      <c r="F102" s="33"/>
      <c r="G102" s="34"/>
      <c r="H102" s="2"/>
      <c r="I102" s="2"/>
      <c r="J102" s="2"/>
      <c r="K102" s="2"/>
      <c r="L102" s="2"/>
      <c r="M102" s="2"/>
      <c r="N102" s="2"/>
      <c r="O102" s="2"/>
      <c r="P102" s="2"/>
      <c r="Q102" s="33"/>
      <c r="R102" s="34"/>
      <c r="S102" s="33"/>
    </row>
    <row r="103" customFormat="false" ht="15" hidden="false" customHeight="false" outlineLevel="0" collapsed="false">
      <c r="A103" s="35"/>
      <c r="B103" s="36" t="str">
        <f aca="false">IF(A103="","",YEAR(A103)&amp;"-"&amp;TEXT(MONTH(A103),"00"))</f>
        <v/>
      </c>
      <c r="C103" s="34"/>
      <c r="D103" s="2"/>
      <c r="E103" s="35"/>
      <c r="F103" s="33"/>
      <c r="G103" s="34"/>
      <c r="H103" s="2"/>
      <c r="I103" s="2"/>
      <c r="J103" s="2"/>
      <c r="K103" s="2"/>
      <c r="L103" s="2"/>
      <c r="M103" s="2"/>
      <c r="N103" s="2"/>
      <c r="O103" s="2"/>
      <c r="P103" s="2"/>
      <c r="Q103" s="33"/>
      <c r="R103" s="34"/>
      <c r="S103" s="33"/>
    </row>
    <row r="104" customFormat="false" ht="15" hidden="false" customHeight="false" outlineLevel="0" collapsed="false">
      <c r="A104" s="35"/>
      <c r="B104" s="36" t="str">
        <f aca="false">IF(A104="","",YEAR(A104)&amp;"-"&amp;TEXT(MONTH(A104),"00"))</f>
        <v/>
      </c>
      <c r="C104" s="34"/>
      <c r="D104" s="2"/>
      <c r="E104" s="35"/>
      <c r="F104" s="33"/>
      <c r="G104" s="34"/>
      <c r="H104" s="2"/>
      <c r="I104" s="2"/>
      <c r="J104" s="2"/>
      <c r="K104" s="2"/>
      <c r="L104" s="2"/>
      <c r="M104" s="2"/>
      <c r="N104" s="2"/>
      <c r="O104" s="2"/>
      <c r="P104" s="2"/>
      <c r="Q104" s="33"/>
      <c r="R104" s="34"/>
      <c r="S104" s="33"/>
    </row>
    <row r="105" customFormat="false" ht="15" hidden="false" customHeight="false" outlineLevel="0" collapsed="false">
      <c r="A105" s="35"/>
      <c r="B105" s="36" t="str">
        <f aca="false">IF(A105="","",YEAR(A105)&amp;"-"&amp;TEXT(MONTH(A105),"00"))</f>
        <v/>
      </c>
      <c r="C105" s="34"/>
      <c r="D105" s="2"/>
      <c r="E105" s="35"/>
      <c r="F105" s="33"/>
      <c r="G105" s="34"/>
      <c r="H105" s="2"/>
      <c r="I105" s="2"/>
      <c r="J105" s="2"/>
      <c r="K105" s="2"/>
      <c r="L105" s="2"/>
      <c r="M105" s="2"/>
      <c r="N105" s="2"/>
      <c r="O105" s="2"/>
      <c r="P105" s="2"/>
      <c r="Q105" s="33"/>
      <c r="R105" s="34"/>
      <c r="S105" s="33"/>
    </row>
    <row r="106" customFormat="false" ht="15" hidden="false" customHeight="false" outlineLevel="0" collapsed="false">
      <c r="A106" s="35"/>
      <c r="B106" s="36" t="str">
        <f aca="false">IF(A106="","",YEAR(A106)&amp;"-"&amp;TEXT(MONTH(A106),"00"))</f>
        <v/>
      </c>
      <c r="C106" s="34"/>
      <c r="D106" s="2"/>
      <c r="E106" s="35"/>
      <c r="F106" s="33"/>
      <c r="G106" s="34"/>
      <c r="H106" s="2"/>
      <c r="I106" s="2"/>
      <c r="J106" s="2"/>
      <c r="K106" s="2"/>
      <c r="L106" s="2"/>
      <c r="M106" s="2"/>
      <c r="N106" s="2"/>
      <c r="O106" s="2"/>
      <c r="P106" s="2"/>
      <c r="Q106" s="33"/>
      <c r="R106" s="34"/>
      <c r="S106" s="33"/>
    </row>
    <row r="107" customFormat="false" ht="15" hidden="false" customHeight="false" outlineLevel="0" collapsed="false">
      <c r="A107" s="35"/>
      <c r="B107" s="36" t="str">
        <f aca="false">IF(A107="","",YEAR(A107)&amp;"-"&amp;TEXT(MONTH(A107),"00"))</f>
        <v/>
      </c>
      <c r="C107" s="34"/>
      <c r="D107" s="2"/>
      <c r="E107" s="35"/>
      <c r="F107" s="33"/>
      <c r="G107" s="34"/>
      <c r="H107" s="2"/>
      <c r="I107" s="2"/>
      <c r="J107" s="2"/>
      <c r="K107" s="2"/>
      <c r="L107" s="2"/>
      <c r="M107" s="2"/>
      <c r="N107" s="2"/>
      <c r="O107" s="2"/>
      <c r="P107" s="2"/>
      <c r="Q107" s="33"/>
      <c r="R107" s="34"/>
      <c r="S107" s="33"/>
    </row>
    <row r="108" customFormat="false" ht="15" hidden="false" customHeight="false" outlineLevel="0" collapsed="false">
      <c r="A108" s="35"/>
      <c r="B108" s="36" t="str">
        <f aca="false">IF(A108="","",YEAR(A108)&amp;"-"&amp;TEXT(MONTH(A108),"00"))</f>
        <v/>
      </c>
      <c r="C108" s="34"/>
      <c r="D108" s="2"/>
      <c r="E108" s="35"/>
      <c r="F108" s="33"/>
      <c r="G108" s="34"/>
      <c r="H108" s="2"/>
      <c r="I108" s="2"/>
      <c r="J108" s="2"/>
      <c r="K108" s="2"/>
      <c r="L108" s="2"/>
      <c r="M108" s="2"/>
      <c r="N108" s="2"/>
      <c r="O108" s="2"/>
      <c r="P108" s="2"/>
      <c r="Q108" s="33"/>
      <c r="R108" s="34"/>
      <c r="S108" s="33"/>
    </row>
    <row r="109" customFormat="false" ht="15" hidden="false" customHeight="false" outlineLevel="0" collapsed="false">
      <c r="A109" s="35"/>
      <c r="B109" s="36" t="str">
        <f aca="false">IF(A109="","",YEAR(A109)&amp;"-"&amp;TEXT(MONTH(A109),"00"))</f>
        <v/>
      </c>
      <c r="C109" s="34"/>
      <c r="D109" s="2"/>
      <c r="E109" s="35"/>
      <c r="F109" s="33"/>
      <c r="G109" s="34"/>
      <c r="H109" s="2"/>
      <c r="I109" s="2"/>
      <c r="J109" s="2"/>
      <c r="K109" s="2"/>
      <c r="L109" s="2"/>
      <c r="M109" s="2"/>
      <c r="N109" s="2"/>
      <c r="O109" s="2"/>
      <c r="P109" s="2"/>
      <c r="Q109" s="33"/>
      <c r="R109" s="34"/>
      <c r="S109" s="33"/>
    </row>
    <row r="110" customFormat="false" ht="15" hidden="false" customHeight="false" outlineLevel="0" collapsed="false">
      <c r="A110" s="35"/>
      <c r="B110" s="36" t="str">
        <f aca="false">IF(A110="","",YEAR(A110)&amp;"-"&amp;TEXT(MONTH(A110),"00"))</f>
        <v/>
      </c>
      <c r="C110" s="34"/>
      <c r="D110" s="2"/>
      <c r="E110" s="35"/>
      <c r="F110" s="33"/>
      <c r="G110" s="34"/>
      <c r="H110" s="2"/>
      <c r="I110" s="2"/>
      <c r="J110" s="2"/>
      <c r="K110" s="2"/>
      <c r="L110" s="2"/>
      <c r="M110" s="2"/>
      <c r="N110" s="2"/>
      <c r="O110" s="2"/>
      <c r="P110" s="2"/>
      <c r="Q110" s="33"/>
      <c r="R110" s="34"/>
      <c r="S110" s="33"/>
    </row>
    <row r="111" customFormat="false" ht="15" hidden="false" customHeight="false" outlineLevel="0" collapsed="false">
      <c r="A111" s="35"/>
      <c r="B111" s="36" t="str">
        <f aca="false">IF(A111="","",YEAR(A111)&amp;"-"&amp;TEXT(MONTH(A111),"00"))</f>
        <v/>
      </c>
      <c r="C111" s="34"/>
      <c r="D111" s="2"/>
      <c r="E111" s="35"/>
      <c r="F111" s="33"/>
      <c r="G111" s="34"/>
      <c r="H111" s="2"/>
      <c r="I111" s="2"/>
      <c r="J111" s="2"/>
      <c r="K111" s="2"/>
      <c r="L111" s="2"/>
      <c r="M111" s="2"/>
      <c r="N111" s="2"/>
      <c r="O111" s="2"/>
      <c r="P111" s="2"/>
      <c r="Q111" s="33"/>
      <c r="R111" s="34"/>
      <c r="S111" s="33"/>
    </row>
    <row r="112" customFormat="false" ht="15" hidden="false" customHeight="false" outlineLevel="0" collapsed="false">
      <c r="A112" s="35"/>
      <c r="B112" s="36" t="str">
        <f aca="false">IF(A112="","",YEAR(A112)&amp;"-"&amp;TEXT(MONTH(A112),"00"))</f>
        <v/>
      </c>
      <c r="C112" s="34"/>
      <c r="D112" s="2"/>
      <c r="E112" s="35"/>
      <c r="F112" s="33"/>
      <c r="G112" s="34"/>
      <c r="H112" s="2"/>
      <c r="I112" s="2"/>
      <c r="J112" s="2"/>
      <c r="K112" s="2"/>
      <c r="L112" s="2"/>
      <c r="M112" s="2"/>
      <c r="N112" s="2"/>
      <c r="O112" s="2"/>
      <c r="P112" s="2"/>
      <c r="Q112" s="33"/>
      <c r="R112" s="34"/>
      <c r="S112" s="33"/>
    </row>
    <row r="113" customFormat="false" ht="15" hidden="false" customHeight="false" outlineLevel="0" collapsed="false">
      <c r="A113" s="35"/>
      <c r="B113" s="36" t="str">
        <f aca="false">IF(A113="","",YEAR(A113)&amp;"-"&amp;TEXT(MONTH(A113),"00"))</f>
        <v/>
      </c>
      <c r="C113" s="34"/>
      <c r="D113" s="2"/>
      <c r="E113" s="35"/>
      <c r="F113" s="33"/>
      <c r="G113" s="34"/>
      <c r="H113" s="2"/>
      <c r="I113" s="2"/>
      <c r="J113" s="2"/>
      <c r="K113" s="2"/>
      <c r="L113" s="2"/>
      <c r="M113" s="2"/>
      <c r="N113" s="2"/>
      <c r="O113" s="2"/>
      <c r="P113" s="2"/>
      <c r="Q113" s="33"/>
      <c r="R113" s="34"/>
      <c r="S113" s="33"/>
    </row>
    <row r="114" customFormat="false" ht="15" hidden="false" customHeight="false" outlineLevel="0" collapsed="false">
      <c r="A114" s="35"/>
      <c r="B114" s="36" t="str">
        <f aca="false">IF(A114="","",YEAR(A114)&amp;"-"&amp;TEXT(MONTH(A114),"00"))</f>
        <v/>
      </c>
      <c r="C114" s="34"/>
      <c r="D114" s="2"/>
      <c r="E114" s="35"/>
      <c r="F114" s="33"/>
      <c r="G114" s="34"/>
      <c r="H114" s="2"/>
      <c r="I114" s="2"/>
      <c r="J114" s="2"/>
      <c r="K114" s="2"/>
      <c r="L114" s="2"/>
      <c r="M114" s="2"/>
      <c r="N114" s="2"/>
      <c r="O114" s="2"/>
      <c r="P114" s="2"/>
      <c r="Q114" s="33"/>
      <c r="R114" s="34"/>
      <c r="S114" s="33"/>
    </row>
    <row r="115" customFormat="false" ht="15" hidden="false" customHeight="false" outlineLevel="0" collapsed="false">
      <c r="A115" s="35"/>
      <c r="B115" s="36" t="str">
        <f aca="false">IF(A115="","",YEAR(A115)&amp;"-"&amp;TEXT(MONTH(A115),"00"))</f>
        <v/>
      </c>
      <c r="C115" s="34"/>
      <c r="D115" s="2"/>
      <c r="E115" s="35"/>
      <c r="F115" s="33"/>
      <c r="G115" s="34"/>
      <c r="H115" s="2"/>
      <c r="I115" s="2"/>
      <c r="J115" s="2"/>
      <c r="K115" s="2"/>
      <c r="L115" s="2"/>
      <c r="M115" s="2"/>
      <c r="N115" s="2"/>
      <c r="O115" s="2"/>
      <c r="P115" s="2"/>
      <c r="Q115" s="33"/>
      <c r="R115" s="34"/>
      <c r="S115" s="33"/>
    </row>
    <row r="116" customFormat="false" ht="15" hidden="false" customHeight="false" outlineLevel="0" collapsed="false">
      <c r="A116" s="35"/>
      <c r="B116" s="36" t="str">
        <f aca="false">IF(A116="","",YEAR(A116)&amp;"-"&amp;TEXT(MONTH(A116),"00"))</f>
        <v/>
      </c>
      <c r="C116" s="34"/>
      <c r="D116" s="2"/>
      <c r="E116" s="35"/>
      <c r="F116" s="33"/>
      <c r="G116" s="34"/>
      <c r="H116" s="2"/>
      <c r="I116" s="2"/>
      <c r="J116" s="2"/>
      <c r="K116" s="2"/>
      <c r="L116" s="2"/>
      <c r="M116" s="2"/>
      <c r="N116" s="2"/>
      <c r="O116" s="2"/>
      <c r="P116" s="2"/>
      <c r="Q116" s="33"/>
      <c r="R116" s="34"/>
      <c r="S116" s="33"/>
    </row>
    <row r="117" customFormat="false" ht="15" hidden="false" customHeight="false" outlineLevel="0" collapsed="false">
      <c r="A117" s="35"/>
      <c r="B117" s="36" t="str">
        <f aca="false">IF(A117="","",YEAR(A117)&amp;"-"&amp;TEXT(MONTH(A117),"00"))</f>
        <v/>
      </c>
      <c r="C117" s="34"/>
      <c r="D117" s="2"/>
      <c r="E117" s="35"/>
      <c r="F117" s="33"/>
      <c r="G117" s="34"/>
      <c r="H117" s="2"/>
      <c r="I117" s="2"/>
      <c r="J117" s="2"/>
      <c r="K117" s="2"/>
      <c r="L117" s="2"/>
      <c r="M117" s="2"/>
      <c r="N117" s="2"/>
      <c r="O117" s="2"/>
      <c r="P117" s="2"/>
      <c r="Q117" s="33"/>
      <c r="R117" s="34"/>
      <c r="S117" s="33"/>
    </row>
    <row r="118" customFormat="false" ht="15" hidden="false" customHeight="false" outlineLevel="0" collapsed="false">
      <c r="A118" s="35"/>
      <c r="B118" s="36" t="str">
        <f aca="false">IF(A118="","",YEAR(A118)&amp;"-"&amp;TEXT(MONTH(A118),"00"))</f>
        <v/>
      </c>
      <c r="C118" s="34"/>
      <c r="D118" s="2"/>
      <c r="E118" s="35"/>
      <c r="F118" s="33"/>
      <c r="G118" s="34"/>
      <c r="H118" s="2"/>
      <c r="I118" s="2"/>
      <c r="J118" s="2"/>
      <c r="K118" s="2"/>
      <c r="L118" s="2"/>
      <c r="M118" s="2"/>
      <c r="N118" s="2"/>
      <c r="O118" s="2"/>
      <c r="P118" s="2"/>
      <c r="Q118" s="33"/>
      <c r="R118" s="34"/>
      <c r="S118" s="33"/>
    </row>
    <row r="119" customFormat="false" ht="15" hidden="false" customHeight="false" outlineLevel="0" collapsed="false">
      <c r="A119" s="35"/>
      <c r="B119" s="36" t="str">
        <f aca="false">IF(A119="","",YEAR(A119)&amp;"-"&amp;TEXT(MONTH(A119),"00"))</f>
        <v/>
      </c>
      <c r="C119" s="34"/>
      <c r="D119" s="2"/>
      <c r="E119" s="35"/>
      <c r="F119" s="33"/>
      <c r="G119" s="34"/>
      <c r="H119" s="2"/>
      <c r="I119" s="2"/>
      <c r="J119" s="2"/>
      <c r="K119" s="2"/>
      <c r="L119" s="2"/>
      <c r="M119" s="2"/>
      <c r="N119" s="2"/>
      <c r="O119" s="2"/>
      <c r="P119" s="2"/>
      <c r="Q119" s="33"/>
      <c r="R119" s="34"/>
      <c r="S119" s="33"/>
    </row>
    <row r="120" customFormat="false" ht="15" hidden="false" customHeight="false" outlineLevel="0" collapsed="false">
      <c r="A120" s="35"/>
      <c r="B120" s="36" t="str">
        <f aca="false">IF(A120="","",YEAR(A120)&amp;"-"&amp;TEXT(MONTH(A120),"00"))</f>
        <v/>
      </c>
      <c r="C120" s="34"/>
      <c r="D120" s="2"/>
      <c r="E120" s="35"/>
      <c r="F120" s="33"/>
      <c r="G120" s="34"/>
      <c r="H120" s="2"/>
      <c r="I120" s="2"/>
      <c r="J120" s="2"/>
      <c r="K120" s="2"/>
      <c r="L120" s="2"/>
      <c r="M120" s="2"/>
      <c r="N120" s="2"/>
      <c r="O120" s="2"/>
      <c r="P120" s="2"/>
      <c r="Q120" s="33"/>
      <c r="R120" s="34"/>
      <c r="S120" s="33"/>
    </row>
    <row r="121" customFormat="false" ht="15" hidden="false" customHeight="false" outlineLevel="0" collapsed="false">
      <c r="A121" s="35"/>
      <c r="B121" s="36" t="str">
        <f aca="false">IF(A121="","",YEAR(A121)&amp;"-"&amp;TEXT(MONTH(A121),"00"))</f>
        <v/>
      </c>
      <c r="C121" s="34"/>
      <c r="D121" s="2"/>
      <c r="E121" s="35"/>
      <c r="F121" s="33"/>
      <c r="G121" s="34"/>
      <c r="H121" s="2"/>
      <c r="I121" s="2"/>
      <c r="J121" s="2"/>
      <c r="K121" s="2"/>
      <c r="L121" s="2"/>
      <c r="M121" s="2"/>
      <c r="N121" s="2"/>
      <c r="O121" s="2"/>
      <c r="P121" s="2"/>
      <c r="Q121" s="33"/>
      <c r="R121" s="34"/>
      <c r="S121" s="33"/>
    </row>
    <row r="122" customFormat="false" ht="15" hidden="false" customHeight="false" outlineLevel="0" collapsed="false">
      <c r="A122" s="35"/>
      <c r="B122" s="36" t="str">
        <f aca="false">IF(A122="","",YEAR(A122)&amp;"-"&amp;TEXT(MONTH(A122),"00"))</f>
        <v/>
      </c>
      <c r="C122" s="34"/>
      <c r="D122" s="2"/>
      <c r="E122" s="35"/>
      <c r="F122" s="33"/>
      <c r="G122" s="34"/>
      <c r="H122" s="2"/>
      <c r="I122" s="2"/>
      <c r="J122" s="2"/>
      <c r="K122" s="2"/>
      <c r="L122" s="2"/>
      <c r="M122" s="2"/>
      <c r="N122" s="2"/>
      <c r="O122" s="2"/>
      <c r="P122" s="2"/>
      <c r="Q122" s="33"/>
      <c r="R122" s="34"/>
      <c r="S122" s="33"/>
    </row>
    <row r="123" customFormat="false" ht="15" hidden="false" customHeight="false" outlineLevel="0" collapsed="false">
      <c r="A123" s="35"/>
      <c r="B123" s="36" t="str">
        <f aca="false">IF(A123="","",YEAR(A123)&amp;"-"&amp;TEXT(MONTH(A123),"00"))</f>
        <v/>
      </c>
      <c r="C123" s="34"/>
      <c r="D123" s="2"/>
      <c r="E123" s="35"/>
      <c r="F123" s="33"/>
      <c r="G123" s="34"/>
      <c r="H123" s="2"/>
      <c r="I123" s="2"/>
      <c r="J123" s="2"/>
      <c r="K123" s="2"/>
      <c r="L123" s="2"/>
      <c r="M123" s="2"/>
      <c r="N123" s="2"/>
      <c r="O123" s="2"/>
      <c r="P123" s="2"/>
      <c r="Q123" s="33"/>
      <c r="R123" s="34"/>
      <c r="S123" s="33"/>
    </row>
    <row r="124" customFormat="false" ht="15" hidden="false" customHeight="false" outlineLevel="0" collapsed="false">
      <c r="A124" s="35"/>
      <c r="B124" s="36" t="str">
        <f aca="false">IF(A124="","",YEAR(A124)&amp;"-"&amp;TEXT(MONTH(A124),"00"))</f>
        <v/>
      </c>
      <c r="C124" s="34"/>
      <c r="D124" s="2"/>
      <c r="E124" s="35"/>
      <c r="F124" s="33"/>
      <c r="G124" s="34"/>
      <c r="H124" s="2"/>
      <c r="I124" s="2"/>
      <c r="J124" s="2"/>
      <c r="K124" s="2"/>
      <c r="L124" s="2"/>
      <c r="M124" s="2"/>
      <c r="N124" s="2"/>
      <c r="O124" s="2"/>
      <c r="P124" s="2"/>
      <c r="Q124" s="33"/>
      <c r="R124" s="34"/>
      <c r="S124" s="33"/>
    </row>
    <row r="125" customFormat="false" ht="15" hidden="false" customHeight="false" outlineLevel="0" collapsed="false">
      <c r="A125" s="35"/>
      <c r="B125" s="36" t="str">
        <f aca="false">IF(A125="","",YEAR(A125)&amp;"-"&amp;TEXT(MONTH(A125),"00"))</f>
        <v/>
      </c>
      <c r="C125" s="34"/>
      <c r="D125" s="2"/>
      <c r="E125" s="35"/>
      <c r="F125" s="33"/>
      <c r="G125" s="34"/>
      <c r="H125" s="2"/>
      <c r="I125" s="2"/>
      <c r="J125" s="2"/>
      <c r="K125" s="2"/>
      <c r="L125" s="2"/>
      <c r="M125" s="2"/>
      <c r="N125" s="2"/>
      <c r="O125" s="2"/>
      <c r="P125" s="2"/>
      <c r="Q125" s="33"/>
      <c r="R125" s="34"/>
      <c r="S125" s="33"/>
    </row>
    <row r="126" customFormat="false" ht="15" hidden="false" customHeight="false" outlineLevel="0" collapsed="false">
      <c r="A126" s="35"/>
      <c r="B126" s="36" t="str">
        <f aca="false">IF(A126="","",YEAR(A126)&amp;"-"&amp;TEXT(MONTH(A126),"00"))</f>
        <v/>
      </c>
      <c r="C126" s="34"/>
      <c r="D126" s="2"/>
      <c r="E126" s="35"/>
      <c r="F126" s="33"/>
      <c r="G126" s="34"/>
      <c r="H126" s="2"/>
      <c r="I126" s="2"/>
      <c r="J126" s="2"/>
      <c r="K126" s="2"/>
      <c r="L126" s="2"/>
      <c r="M126" s="2"/>
      <c r="N126" s="2"/>
      <c r="O126" s="2"/>
      <c r="P126" s="2"/>
      <c r="Q126" s="33"/>
      <c r="R126" s="34"/>
      <c r="S126" s="33"/>
    </row>
    <row r="127" customFormat="false" ht="15" hidden="false" customHeight="false" outlineLevel="0" collapsed="false">
      <c r="A127" s="35"/>
      <c r="B127" s="36" t="str">
        <f aca="false">IF(A127="","",YEAR(A127)&amp;"-"&amp;TEXT(MONTH(A127),"00"))</f>
        <v/>
      </c>
      <c r="C127" s="34"/>
      <c r="D127" s="2"/>
      <c r="E127" s="35"/>
      <c r="F127" s="33"/>
      <c r="G127" s="34"/>
      <c r="H127" s="2"/>
      <c r="I127" s="2"/>
      <c r="J127" s="2"/>
      <c r="K127" s="2"/>
      <c r="L127" s="2"/>
      <c r="M127" s="2"/>
      <c r="N127" s="2"/>
      <c r="O127" s="2"/>
      <c r="P127" s="2"/>
      <c r="Q127" s="33"/>
      <c r="R127" s="34"/>
      <c r="S127" s="33"/>
    </row>
    <row r="128" customFormat="false" ht="15" hidden="false" customHeight="false" outlineLevel="0" collapsed="false">
      <c r="A128" s="35"/>
      <c r="B128" s="36" t="str">
        <f aca="false">IF(A128="","",YEAR(A128)&amp;"-"&amp;TEXT(MONTH(A128),"00"))</f>
        <v/>
      </c>
      <c r="C128" s="34"/>
      <c r="D128" s="2"/>
      <c r="E128" s="35"/>
      <c r="F128" s="33"/>
      <c r="G128" s="34"/>
      <c r="H128" s="2"/>
      <c r="I128" s="2"/>
      <c r="J128" s="2"/>
      <c r="K128" s="2"/>
      <c r="L128" s="2"/>
      <c r="M128" s="2"/>
      <c r="N128" s="2"/>
      <c r="O128" s="2"/>
      <c r="P128" s="2"/>
      <c r="Q128" s="33"/>
      <c r="R128" s="34"/>
      <c r="S128" s="33"/>
    </row>
    <row r="129" customFormat="false" ht="15" hidden="false" customHeight="false" outlineLevel="0" collapsed="false">
      <c r="A129" s="35"/>
      <c r="B129" s="36" t="str">
        <f aca="false">IF(A129="","",YEAR(A129)&amp;"-"&amp;TEXT(MONTH(A129),"00"))</f>
        <v/>
      </c>
      <c r="C129" s="34"/>
      <c r="D129" s="2"/>
      <c r="E129" s="35"/>
      <c r="F129" s="33"/>
      <c r="G129" s="34"/>
      <c r="H129" s="2"/>
      <c r="I129" s="2"/>
      <c r="J129" s="2"/>
      <c r="K129" s="2"/>
      <c r="L129" s="2"/>
      <c r="M129" s="2"/>
      <c r="N129" s="2"/>
      <c r="O129" s="2"/>
      <c r="P129" s="2"/>
      <c r="Q129" s="33"/>
      <c r="R129" s="34"/>
      <c r="S129" s="33"/>
    </row>
    <row r="130" customFormat="false" ht="15" hidden="false" customHeight="false" outlineLevel="0" collapsed="false">
      <c r="A130" s="35"/>
      <c r="B130" s="36" t="str">
        <f aca="false">IF(A130="","",YEAR(A130)&amp;"-"&amp;TEXT(MONTH(A130),"00"))</f>
        <v/>
      </c>
      <c r="C130" s="34"/>
      <c r="D130" s="2"/>
      <c r="E130" s="35"/>
      <c r="F130" s="33"/>
      <c r="G130" s="34"/>
      <c r="H130" s="2"/>
      <c r="I130" s="2"/>
      <c r="J130" s="2"/>
      <c r="K130" s="2"/>
      <c r="L130" s="2"/>
      <c r="M130" s="2"/>
      <c r="N130" s="2"/>
      <c r="O130" s="2"/>
      <c r="P130" s="2"/>
      <c r="Q130" s="33"/>
      <c r="R130" s="34"/>
      <c r="S130" s="33"/>
    </row>
    <row r="131" customFormat="false" ht="15" hidden="false" customHeight="false" outlineLevel="0" collapsed="false">
      <c r="A131" s="35"/>
      <c r="B131" s="36" t="str">
        <f aca="false">IF(A131="","",YEAR(A131)&amp;"-"&amp;TEXT(MONTH(A131),"00"))</f>
        <v/>
      </c>
      <c r="C131" s="34"/>
      <c r="D131" s="2"/>
      <c r="E131" s="35"/>
      <c r="F131" s="33"/>
      <c r="G131" s="34"/>
      <c r="H131" s="2"/>
      <c r="I131" s="2"/>
      <c r="J131" s="2"/>
      <c r="K131" s="2"/>
      <c r="L131" s="2"/>
      <c r="M131" s="2"/>
      <c r="N131" s="2"/>
      <c r="O131" s="2"/>
      <c r="P131" s="2"/>
      <c r="Q131" s="33"/>
      <c r="R131" s="34"/>
      <c r="S131" s="33"/>
    </row>
    <row r="132" customFormat="false" ht="15" hidden="false" customHeight="false" outlineLevel="0" collapsed="false">
      <c r="A132" s="35"/>
      <c r="B132" s="36" t="str">
        <f aca="false">IF(A132="","",YEAR(A132)&amp;"-"&amp;TEXT(MONTH(A132),"00"))</f>
        <v/>
      </c>
      <c r="C132" s="34"/>
      <c r="D132" s="2"/>
      <c r="E132" s="35"/>
      <c r="F132" s="33"/>
      <c r="G132" s="34"/>
      <c r="H132" s="2"/>
      <c r="I132" s="2"/>
      <c r="J132" s="2"/>
      <c r="K132" s="2"/>
      <c r="L132" s="2"/>
      <c r="M132" s="2"/>
      <c r="N132" s="2"/>
      <c r="O132" s="2"/>
      <c r="P132" s="2"/>
      <c r="Q132" s="33"/>
      <c r="R132" s="34"/>
      <c r="S132" s="33"/>
    </row>
    <row r="133" customFormat="false" ht="15" hidden="false" customHeight="false" outlineLevel="0" collapsed="false">
      <c r="A133" s="35"/>
      <c r="B133" s="36" t="str">
        <f aca="false">IF(A133="","",YEAR(A133)&amp;"-"&amp;TEXT(MONTH(A133),"00"))</f>
        <v/>
      </c>
      <c r="C133" s="34"/>
      <c r="D133" s="2"/>
      <c r="E133" s="35"/>
      <c r="F133" s="33"/>
      <c r="G133" s="34"/>
      <c r="H133" s="2"/>
      <c r="I133" s="2"/>
      <c r="J133" s="2"/>
      <c r="K133" s="2"/>
      <c r="L133" s="2"/>
      <c r="M133" s="2"/>
      <c r="N133" s="2"/>
      <c r="O133" s="2"/>
      <c r="P133" s="2"/>
      <c r="Q133" s="33"/>
      <c r="R133" s="34"/>
      <c r="S133" s="33"/>
    </row>
    <row r="134" customFormat="false" ht="15" hidden="false" customHeight="false" outlineLevel="0" collapsed="false">
      <c r="A134" s="35"/>
      <c r="B134" s="36" t="str">
        <f aca="false">IF(A134="","",YEAR(A134)&amp;"-"&amp;TEXT(MONTH(A134),"00"))</f>
        <v/>
      </c>
      <c r="C134" s="34"/>
      <c r="D134" s="2"/>
      <c r="E134" s="35"/>
      <c r="F134" s="33"/>
      <c r="G134" s="34"/>
      <c r="H134" s="2"/>
      <c r="I134" s="2"/>
      <c r="J134" s="2"/>
      <c r="K134" s="2"/>
      <c r="L134" s="2"/>
      <c r="M134" s="2"/>
      <c r="N134" s="2"/>
      <c r="O134" s="2"/>
      <c r="P134" s="2"/>
      <c r="Q134" s="33"/>
      <c r="R134" s="34"/>
      <c r="S134" s="33"/>
    </row>
    <row r="135" customFormat="false" ht="15" hidden="false" customHeight="false" outlineLevel="0" collapsed="false">
      <c r="A135" s="35"/>
      <c r="B135" s="36" t="str">
        <f aca="false">IF(A135="","",YEAR(A135)&amp;"-"&amp;TEXT(MONTH(A135),"00"))</f>
        <v/>
      </c>
      <c r="C135" s="34"/>
      <c r="D135" s="2"/>
      <c r="E135" s="35"/>
      <c r="F135" s="33"/>
      <c r="G135" s="34"/>
      <c r="H135" s="2"/>
      <c r="I135" s="2"/>
      <c r="J135" s="2"/>
      <c r="K135" s="2"/>
      <c r="L135" s="2"/>
      <c r="M135" s="2"/>
      <c r="N135" s="2"/>
      <c r="O135" s="2"/>
      <c r="P135" s="2"/>
      <c r="Q135" s="33"/>
      <c r="R135" s="34"/>
      <c r="S135" s="33"/>
    </row>
    <row r="136" customFormat="false" ht="15" hidden="false" customHeight="false" outlineLevel="0" collapsed="false">
      <c r="A136" s="35"/>
      <c r="B136" s="36" t="str">
        <f aca="false">IF(A136="","",YEAR(A136)&amp;"-"&amp;TEXT(MONTH(A136),"00"))</f>
        <v/>
      </c>
      <c r="C136" s="34"/>
      <c r="D136" s="2"/>
      <c r="E136" s="35"/>
      <c r="F136" s="33"/>
      <c r="G136" s="34"/>
      <c r="H136" s="2"/>
      <c r="I136" s="2"/>
      <c r="J136" s="2"/>
      <c r="K136" s="2"/>
      <c r="L136" s="2"/>
      <c r="M136" s="2"/>
      <c r="N136" s="2"/>
      <c r="O136" s="2"/>
      <c r="P136" s="2"/>
      <c r="Q136" s="33"/>
      <c r="R136" s="34"/>
      <c r="S136" s="33"/>
    </row>
    <row r="137" customFormat="false" ht="15" hidden="false" customHeight="false" outlineLevel="0" collapsed="false">
      <c r="A137" s="35"/>
      <c r="B137" s="36" t="str">
        <f aca="false">IF(A137="","",YEAR(A137)&amp;"-"&amp;TEXT(MONTH(A137),"00"))</f>
        <v/>
      </c>
      <c r="C137" s="34"/>
      <c r="D137" s="2"/>
      <c r="E137" s="35"/>
      <c r="F137" s="33"/>
      <c r="G137" s="34"/>
      <c r="H137" s="2"/>
      <c r="I137" s="2"/>
      <c r="J137" s="2"/>
      <c r="K137" s="2"/>
      <c r="L137" s="2"/>
      <c r="M137" s="2"/>
      <c r="N137" s="2"/>
      <c r="O137" s="2"/>
      <c r="P137" s="2"/>
      <c r="Q137" s="33"/>
      <c r="R137" s="34"/>
      <c r="S137" s="33"/>
    </row>
    <row r="138" customFormat="false" ht="15" hidden="false" customHeight="false" outlineLevel="0" collapsed="false">
      <c r="A138" s="35"/>
      <c r="B138" s="36" t="str">
        <f aca="false">IF(A138="","",YEAR(A138)&amp;"-"&amp;TEXT(MONTH(A138),"00"))</f>
        <v/>
      </c>
      <c r="C138" s="34"/>
      <c r="D138" s="2"/>
      <c r="E138" s="35"/>
      <c r="F138" s="33"/>
      <c r="G138" s="34"/>
      <c r="H138" s="2"/>
      <c r="I138" s="2"/>
      <c r="J138" s="2"/>
      <c r="K138" s="2"/>
      <c r="L138" s="2"/>
      <c r="M138" s="2"/>
      <c r="N138" s="2"/>
      <c r="O138" s="2"/>
      <c r="P138" s="2"/>
      <c r="Q138" s="33"/>
      <c r="R138" s="34"/>
      <c r="S138" s="33"/>
    </row>
    <row r="139" customFormat="false" ht="15" hidden="false" customHeight="false" outlineLevel="0" collapsed="false">
      <c r="A139" s="35"/>
      <c r="B139" s="36" t="str">
        <f aca="false">IF(A139="","",YEAR(A139)&amp;"-"&amp;TEXT(MONTH(A139),"00"))</f>
        <v/>
      </c>
      <c r="C139" s="34"/>
      <c r="D139" s="2"/>
      <c r="E139" s="35"/>
      <c r="F139" s="33"/>
      <c r="G139" s="34"/>
      <c r="H139" s="2"/>
      <c r="I139" s="2"/>
      <c r="J139" s="2"/>
      <c r="K139" s="2"/>
      <c r="L139" s="2"/>
      <c r="M139" s="2"/>
      <c r="N139" s="2"/>
      <c r="O139" s="2"/>
      <c r="P139" s="2"/>
      <c r="Q139" s="33"/>
      <c r="R139" s="34"/>
      <c r="S139" s="33"/>
    </row>
    <row r="140" customFormat="false" ht="15" hidden="false" customHeight="false" outlineLevel="0" collapsed="false">
      <c r="A140" s="35"/>
      <c r="B140" s="36" t="str">
        <f aca="false">IF(A140="","",YEAR(A140)&amp;"-"&amp;TEXT(MONTH(A140),"00"))</f>
        <v/>
      </c>
      <c r="C140" s="34"/>
      <c r="D140" s="2"/>
      <c r="E140" s="35"/>
      <c r="F140" s="33"/>
      <c r="G140" s="34"/>
      <c r="H140" s="2"/>
      <c r="I140" s="2"/>
      <c r="J140" s="2"/>
      <c r="K140" s="2"/>
      <c r="L140" s="2"/>
      <c r="M140" s="2"/>
      <c r="N140" s="2"/>
      <c r="O140" s="2"/>
      <c r="P140" s="2"/>
      <c r="Q140" s="33"/>
      <c r="R140" s="34"/>
      <c r="S140" s="33"/>
    </row>
    <row r="141" customFormat="false" ht="15" hidden="false" customHeight="false" outlineLevel="0" collapsed="false">
      <c r="A141" s="35"/>
      <c r="B141" s="36" t="str">
        <f aca="false">IF(A141="","",YEAR(A141)&amp;"-"&amp;TEXT(MONTH(A141),"00"))</f>
        <v/>
      </c>
      <c r="C141" s="34"/>
      <c r="D141" s="2"/>
      <c r="E141" s="35"/>
      <c r="F141" s="33"/>
      <c r="G141" s="34"/>
      <c r="H141" s="2"/>
      <c r="I141" s="2"/>
      <c r="J141" s="2"/>
      <c r="K141" s="2"/>
      <c r="L141" s="2"/>
      <c r="M141" s="2"/>
      <c r="N141" s="2"/>
      <c r="O141" s="2"/>
      <c r="P141" s="2"/>
      <c r="Q141" s="33"/>
      <c r="R141" s="34"/>
      <c r="S141" s="33"/>
    </row>
    <row r="142" customFormat="false" ht="15" hidden="false" customHeight="false" outlineLevel="0" collapsed="false">
      <c r="A142" s="35"/>
      <c r="B142" s="36" t="str">
        <f aca="false">IF(A142="","",YEAR(A142)&amp;"-"&amp;TEXT(MONTH(A142),"00"))</f>
        <v/>
      </c>
      <c r="C142" s="34"/>
      <c r="D142" s="2"/>
      <c r="E142" s="35"/>
      <c r="F142" s="33"/>
      <c r="G142" s="34"/>
      <c r="H142" s="2"/>
      <c r="I142" s="2"/>
      <c r="J142" s="2"/>
      <c r="K142" s="2"/>
      <c r="L142" s="2"/>
      <c r="M142" s="2"/>
      <c r="N142" s="2"/>
      <c r="O142" s="2"/>
      <c r="P142" s="2"/>
      <c r="Q142" s="33"/>
      <c r="R142" s="34"/>
      <c r="S142" s="33"/>
    </row>
    <row r="143" customFormat="false" ht="15" hidden="false" customHeight="false" outlineLevel="0" collapsed="false">
      <c r="A143" s="35"/>
      <c r="B143" s="36" t="str">
        <f aca="false">IF(A143="","",YEAR(A143)&amp;"-"&amp;TEXT(MONTH(A143),"00"))</f>
        <v/>
      </c>
      <c r="C143" s="34"/>
      <c r="D143" s="2"/>
      <c r="E143" s="35"/>
      <c r="F143" s="33"/>
      <c r="G143" s="34"/>
      <c r="H143" s="2"/>
      <c r="I143" s="2"/>
      <c r="J143" s="2"/>
      <c r="K143" s="2"/>
      <c r="L143" s="2"/>
      <c r="M143" s="2"/>
      <c r="N143" s="2"/>
      <c r="O143" s="2"/>
      <c r="P143" s="2"/>
      <c r="Q143" s="33"/>
      <c r="R143" s="34"/>
      <c r="S143" s="33"/>
    </row>
    <row r="144" customFormat="false" ht="15" hidden="false" customHeight="false" outlineLevel="0" collapsed="false">
      <c r="A144" s="35"/>
      <c r="B144" s="36" t="str">
        <f aca="false">IF(A144="","",YEAR(A144)&amp;"-"&amp;TEXT(MONTH(A144),"00"))</f>
        <v/>
      </c>
      <c r="C144" s="34"/>
      <c r="D144" s="2"/>
      <c r="E144" s="35"/>
      <c r="F144" s="33"/>
      <c r="G144" s="34"/>
      <c r="H144" s="2"/>
      <c r="I144" s="2"/>
      <c r="J144" s="2"/>
      <c r="K144" s="2"/>
      <c r="L144" s="2"/>
      <c r="M144" s="2"/>
      <c r="N144" s="2"/>
      <c r="O144" s="2"/>
      <c r="P144" s="2"/>
      <c r="Q144" s="33"/>
      <c r="R144" s="34"/>
      <c r="S144" s="33"/>
    </row>
    <row r="145" customFormat="false" ht="15" hidden="false" customHeight="false" outlineLevel="0" collapsed="false">
      <c r="A145" s="35"/>
      <c r="B145" s="36" t="str">
        <f aca="false">IF(A145="","",YEAR(A145)&amp;"-"&amp;TEXT(MONTH(A145),"00"))</f>
        <v/>
      </c>
      <c r="C145" s="34"/>
      <c r="D145" s="2"/>
      <c r="E145" s="35"/>
      <c r="F145" s="33"/>
      <c r="G145" s="34"/>
      <c r="H145" s="2"/>
      <c r="I145" s="2"/>
      <c r="J145" s="2"/>
      <c r="K145" s="2"/>
      <c r="L145" s="2"/>
      <c r="M145" s="2"/>
      <c r="N145" s="2"/>
      <c r="O145" s="2"/>
      <c r="P145" s="2"/>
      <c r="Q145" s="33"/>
      <c r="R145" s="34"/>
      <c r="S145" s="33"/>
    </row>
    <row r="146" customFormat="false" ht="15" hidden="false" customHeight="false" outlineLevel="0" collapsed="false">
      <c r="A146" s="35"/>
      <c r="B146" s="36" t="str">
        <f aca="false">IF(A146="","",YEAR(A146)&amp;"-"&amp;TEXT(MONTH(A146),"00"))</f>
        <v/>
      </c>
      <c r="C146" s="34"/>
      <c r="D146" s="2"/>
      <c r="E146" s="35"/>
      <c r="F146" s="33"/>
      <c r="G146" s="34"/>
      <c r="H146" s="2"/>
      <c r="I146" s="2"/>
      <c r="J146" s="2"/>
      <c r="K146" s="2"/>
      <c r="L146" s="2"/>
      <c r="M146" s="2"/>
      <c r="N146" s="2"/>
      <c r="O146" s="2"/>
      <c r="P146" s="2"/>
      <c r="Q146" s="33"/>
      <c r="R146" s="34"/>
      <c r="S146" s="33"/>
    </row>
    <row r="147" customFormat="false" ht="15" hidden="false" customHeight="false" outlineLevel="0" collapsed="false">
      <c r="A147" s="35"/>
      <c r="B147" s="36" t="str">
        <f aca="false">IF(A147="","",YEAR(A147)&amp;"-"&amp;TEXT(MONTH(A147),"00"))</f>
        <v/>
      </c>
      <c r="C147" s="34"/>
      <c r="D147" s="2"/>
      <c r="E147" s="35"/>
      <c r="F147" s="33"/>
      <c r="G147" s="34"/>
      <c r="H147" s="2"/>
      <c r="I147" s="2"/>
      <c r="J147" s="2"/>
      <c r="K147" s="2"/>
      <c r="L147" s="2"/>
      <c r="M147" s="2"/>
      <c r="N147" s="2"/>
      <c r="O147" s="2"/>
      <c r="P147" s="2"/>
      <c r="Q147" s="33"/>
      <c r="R147" s="34"/>
      <c r="S147" s="33"/>
    </row>
    <row r="148" customFormat="false" ht="15" hidden="false" customHeight="false" outlineLevel="0" collapsed="false">
      <c r="A148" s="35"/>
      <c r="B148" s="36" t="str">
        <f aca="false">IF(A148="","",YEAR(A148)&amp;"-"&amp;TEXT(MONTH(A148),"00"))</f>
        <v/>
      </c>
      <c r="C148" s="34"/>
      <c r="D148" s="2"/>
      <c r="E148" s="35"/>
      <c r="F148" s="33"/>
      <c r="G148" s="34"/>
      <c r="H148" s="2"/>
      <c r="I148" s="2"/>
      <c r="J148" s="2"/>
      <c r="K148" s="2"/>
      <c r="L148" s="2"/>
      <c r="M148" s="2"/>
      <c r="N148" s="2"/>
      <c r="O148" s="2"/>
      <c r="P148" s="2"/>
      <c r="Q148" s="33"/>
      <c r="R148" s="34"/>
      <c r="S148" s="33"/>
    </row>
    <row r="149" customFormat="false" ht="15" hidden="false" customHeight="false" outlineLevel="0" collapsed="false">
      <c r="A149" s="35"/>
      <c r="B149" s="36" t="str">
        <f aca="false">IF(A149="","",YEAR(A149)&amp;"-"&amp;TEXT(MONTH(A149),"00"))</f>
        <v/>
      </c>
      <c r="C149" s="34"/>
      <c r="D149" s="2"/>
      <c r="E149" s="35"/>
      <c r="F149" s="33"/>
      <c r="G149" s="34"/>
      <c r="H149" s="2"/>
      <c r="I149" s="2"/>
      <c r="J149" s="2"/>
      <c r="K149" s="2"/>
      <c r="L149" s="2"/>
      <c r="M149" s="2"/>
      <c r="N149" s="2"/>
      <c r="O149" s="2"/>
      <c r="P149" s="2"/>
      <c r="Q149" s="33"/>
      <c r="R149" s="34"/>
      <c r="S149" s="33"/>
    </row>
    <row r="150" customFormat="false" ht="15" hidden="false" customHeight="false" outlineLevel="0" collapsed="false">
      <c r="A150" s="35"/>
      <c r="B150" s="36" t="str">
        <f aca="false">IF(A150="","",YEAR(A150)&amp;"-"&amp;TEXT(MONTH(A150),"00"))</f>
        <v/>
      </c>
      <c r="C150" s="34"/>
      <c r="D150" s="2"/>
      <c r="E150" s="35"/>
      <c r="F150" s="33"/>
      <c r="G150" s="34"/>
      <c r="H150" s="2"/>
      <c r="I150" s="2"/>
      <c r="J150" s="2"/>
      <c r="K150" s="2"/>
      <c r="L150" s="2"/>
      <c r="M150" s="2"/>
      <c r="N150" s="2"/>
      <c r="O150" s="2"/>
      <c r="P150" s="2"/>
      <c r="Q150" s="33"/>
      <c r="R150" s="34"/>
      <c r="S150" s="33"/>
    </row>
    <row r="151" customFormat="false" ht="15" hidden="false" customHeight="false" outlineLevel="0" collapsed="false">
      <c r="A151" s="35"/>
      <c r="B151" s="36" t="str">
        <f aca="false">IF(A151="","",YEAR(A151)&amp;"-"&amp;TEXT(MONTH(A151),"00"))</f>
        <v/>
      </c>
      <c r="C151" s="34"/>
      <c r="D151" s="2"/>
      <c r="E151" s="35"/>
      <c r="F151" s="33"/>
      <c r="G151" s="34"/>
      <c r="H151" s="2"/>
      <c r="I151" s="2"/>
      <c r="J151" s="2"/>
      <c r="K151" s="2"/>
      <c r="L151" s="2"/>
      <c r="M151" s="2"/>
      <c r="N151" s="2"/>
      <c r="O151" s="2"/>
      <c r="P151" s="2"/>
      <c r="Q151" s="33"/>
      <c r="R151" s="34"/>
      <c r="S151" s="33"/>
    </row>
    <row r="152" customFormat="false" ht="15" hidden="false" customHeight="false" outlineLevel="0" collapsed="false">
      <c r="A152" s="35"/>
      <c r="B152" s="36" t="str">
        <f aca="false">IF(A152="","",YEAR(A152)&amp;"-"&amp;TEXT(MONTH(A152),"00"))</f>
        <v/>
      </c>
      <c r="C152" s="34"/>
      <c r="D152" s="2"/>
      <c r="E152" s="35"/>
      <c r="F152" s="33"/>
      <c r="G152" s="34"/>
      <c r="H152" s="2"/>
      <c r="I152" s="2"/>
      <c r="J152" s="2"/>
      <c r="K152" s="2"/>
      <c r="L152" s="2"/>
      <c r="M152" s="2"/>
      <c r="N152" s="2"/>
      <c r="O152" s="2"/>
      <c r="P152" s="2"/>
      <c r="Q152" s="33"/>
      <c r="R152" s="34"/>
      <c r="S152" s="33"/>
    </row>
    <row r="153" customFormat="false" ht="15" hidden="false" customHeight="false" outlineLevel="0" collapsed="false">
      <c r="A153" s="35"/>
      <c r="B153" s="36" t="str">
        <f aca="false">IF(A153="","",YEAR(A153)&amp;"-"&amp;TEXT(MONTH(A153),"00"))</f>
        <v/>
      </c>
      <c r="C153" s="34"/>
      <c r="D153" s="2"/>
      <c r="E153" s="35"/>
      <c r="F153" s="33"/>
      <c r="G153" s="34"/>
      <c r="H153" s="2"/>
      <c r="I153" s="2"/>
      <c r="J153" s="2"/>
      <c r="K153" s="2"/>
      <c r="L153" s="2"/>
      <c r="M153" s="2"/>
      <c r="N153" s="2"/>
      <c r="O153" s="2"/>
      <c r="P153" s="2"/>
      <c r="Q153" s="33"/>
      <c r="R153" s="34"/>
      <c r="S153" s="33"/>
    </row>
    <row r="154" customFormat="false" ht="15" hidden="false" customHeight="false" outlineLevel="0" collapsed="false">
      <c r="A154" s="35"/>
      <c r="B154" s="36" t="str">
        <f aca="false">IF(A154="","",YEAR(A154)&amp;"-"&amp;TEXT(MONTH(A154),"00"))</f>
        <v/>
      </c>
      <c r="C154" s="34"/>
      <c r="D154" s="2"/>
      <c r="E154" s="35"/>
      <c r="F154" s="33"/>
      <c r="G154" s="34"/>
      <c r="H154" s="2"/>
      <c r="I154" s="2"/>
      <c r="J154" s="2"/>
      <c r="K154" s="2"/>
      <c r="L154" s="2"/>
      <c r="M154" s="2"/>
      <c r="N154" s="2"/>
      <c r="O154" s="2"/>
      <c r="P154" s="2"/>
      <c r="Q154" s="33"/>
      <c r="R154" s="34"/>
      <c r="S154" s="33"/>
    </row>
    <row r="155" customFormat="false" ht="15" hidden="false" customHeight="false" outlineLevel="0" collapsed="false">
      <c r="A155" s="35"/>
      <c r="B155" s="36" t="str">
        <f aca="false">IF(A155="","",YEAR(A155)&amp;"-"&amp;TEXT(MONTH(A155),"00"))</f>
        <v/>
      </c>
      <c r="C155" s="34"/>
      <c r="D155" s="2"/>
      <c r="E155" s="35"/>
      <c r="F155" s="33"/>
      <c r="G155" s="34"/>
      <c r="H155" s="2"/>
      <c r="I155" s="2"/>
      <c r="J155" s="2"/>
      <c r="K155" s="2"/>
      <c r="L155" s="2"/>
      <c r="M155" s="2"/>
      <c r="N155" s="2"/>
      <c r="O155" s="2"/>
      <c r="P155" s="2"/>
      <c r="Q155" s="33"/>
      <c r="R155" s="34"/>
      <c r="S155" s="33"/>
    </row>
    <row r="156" customFormat="false" ht="15" hidden="false" customHeight="false" outlineLevel="0" collapsed="false">
      <c r="A156" s="35"/>
      <c r="B156" s="36" t="str">
        <f aca="false">IF(A156="","",YEAR(A156)&amp;"-"&amp;TEXT(MONTH(A156),"00"))</f>
        <v/>
      </c>
      <c r="C156" s="34"/>
      <c r="D156" s="2"/>
      <c r="E156" s="35"/>
      <c r="F156" s="33"/>
      <c r="G156" s="34"/>
      <c r="H156" s="2"/>
      <c r="I156" s="2"/>
      <c r="J156" s="2"/>
      <c r="K156" s="2"/>
      <c r="L156" s="2"/>
      <c r="M156" s="2"/>
      <c r="N156" s="2"/>
      <c r="O156" s="2"/>
      <c r="P156" s="2"/>
      <c r="Q156" s="33"/>
      <c r="R156" s="34"/>
      <c r="S156" s="33"/>
    </row>
    <row r="157" customFormat="false" ht="15" hidden="false" customHeight="false" outlineLevel="0" collapsed="false">
      <c r="A157" s="35"/>
      <c r="B157" s="36" t="str">
        <f aca="false">IF(A157="","",YEAR(A157)&amp;"-"&amp;TEXT(MONTH(A157),"00"))</f>
        <v/>
      </c>
      <c r="C157" s="34"/>
      <c r="D157" s="2"/>
      <c r="E157" s="35"/>
      <c r="F157" s="33"/>
      <c r="G157" s="34"/>
      <c r="H157" s="2"/>
      <c r="I157" s="2"/>
      <c r="J157" s="2"/>
      <c r="K157" s="2"/>
      <c r="L157" s="2"/>
      <c r="M157" s="2"/>
      <c r="N157" s="2"/>
      <c r="O157" s="2"/>
      <c r="P157" s="2"/>
      <c r="Q157" s="33"/>
      <c r="R157" s="34"/>
      <c r="S157" s="33"/>
    </row>
    <row r="158" customFormat="false" ht="15" hidden="false" customHeight="false" outlineLevel="0" collapsed="false">
      <c r="A158" s="35"/>
      <c r="B158" s="36" t="str">
        <f aca="false">IF(A158="","",YEAR(A158)&amp;"-"&amp;TEXT(MONTH(A158),"00"))</f>
        <v/>
      </c>
      <c r="C158" s="34"/>
      <c r="D158" s="2"/>
      <c r="E158" s="35"/>
      <c r="F158" s="33"/>
      <c r="G158" s="34"/>
      <c r="H158" s="2"/>
      <c r="I158" s="2"/>
      <c r="J158" s="2"/>
      <c r="K158" s="2"/>
      <c r="L158" s="2"/>
      <c r="M158" s="2"/>
      <c r="N158" s="2"/>
      <c r="O158" s="2"/>
      <c r="P158" s="2"/>
      <c r="Q158" s="33"/>
      <c r="R158" s="34"/>
      <c r="S158" s="33"/>
    </row>
    <row r="159" customFormat="false" ht="15" hidden="false" customHeight="false" outlineLevel="0" collapsed="false">
      <c r="A159" s="35"/>
      <c r="B159" s="36" t="str">
        <f aca="false">IF(A159="","",YEAR(A159)&amp;"-"&amp;TEXT(MONTH(A159),"00"))</f>
        <v/>
      </c>
      <c r="C159" s="34"/>
      <c r="D159" s="2"/>
      <c r="E159" s="35"/>
      <c r="F159" s="33"/>
      <c r="G159" s="34"/>
      <c r="H159" s="2"/>
      <c r="I159" s="2"/>
      <c r="J159" s="2"/>
      <c r="K159" s="2"/>
      <c r="L159" s="2"/>
      <c r="M159" s="2"/>
      <c r="N159" s="2"/>
      <c r="O159" s="2"/>
      <c r="P159" s="2"/>
      <c r="Q159" s="33"/>
      <c r="R159" s="34"/>
      <c r="S159" s="33"/>
    </row>
    <row r="160" customFormat="false" ht="15" hidden="false" customHeight="false" outlineLevel="0" collapsed="false">
      <c r="A160" s="35"/>
      <c r="B160" s="36" t="str">
        <f aca="false">IF(A160="","",YEAR(A160)&amp;"-"&amp;TEXT(MONTH(A160),"00"))</f>
        <v/>
      </c>
      <c r="C160" s="34"/>
      <c r="D160" s="2"/>
      <c r="E160" s="35"/>
      <c r="F160" s="33"/>
      <c r="G160" s="34"/>
      <c r="H160" s="2"/>
      <c r="I160" s="2"/>
      <c r="J160" s="2"/>
      <c r="K160" s="2"/>
      <c r="L160" s="2"/>
      <c r="M160" s="2"/>
      <c r="N160" s="2"/>
      <c r="O160" s="2"/>
      <c r="P160" s="2"/>
      <c r="Q160" s="33"/>
      <c r="R160" s="34"/>
      <c r="S160" s="33"/>
    </row>
    <row r="161" customFormat="false" ht="15" hidden="false" customHeight="false" outlineLevel="0" collapsed="false">
      <c r="A161" s="35"/>
      <c r="B161" s="36" t="str">
        <f aca="false">IF(A161="","",YEAR(A161)&amp;"-"&amp;TEXT(MONTH(A161),"00"))</f>
        <v/>
      </c>
      <c r="C161" s="34"/>
      <c r="D161" s="2"/>
      <c r="E161" s="35"/>
      <c r="F161" s="33"/>
      <c r="G161" s="34"/>
      <c r="H161" s="2"/>
      <c r="I161" s="2"/>
      <c r="J161" s="2"/>
      <c r="K161" s="2"/>
      <c r="L161" s="2"/>
      <c r="M161" s="2"/>
      <c r="N161" s="2"/>
      <c r="O161" s="2"/>
      <c r="P161" s="2"/>
      <c r="Q161" s="33"/>
      <c r="R161" s="34"/>
      <c r="S161" s="33"/>
    </row>
    <row r="162" customFormat="false" ht="15" hidden="false" customHeight="false" outlineLevel="0" collapsed="false">
      <c r="A162" s="35"/>
      <c r="B162" s="36" t="str">
        <f aca="false">IF(A162="","",YEAR(A162)&amp;"-"&amp;TEXT(MONTH(A162),"00"))</f>
        <v/>
      </c>
      <c r="C162" s="34"/>
      <c r="D162" s="2"/>
      <c r="E162" s="35"/>
      <c r="F162" s="33"/>
      <c r="G162" s="34"/>
      <c r="H162" s="2"/>
      <c r="I162" s="2"/>
      <c r="J162" s="2"/>
      <c r="K162" s="2"/>
      <c r="L162" s="2"/>
      <c r="M162" s="2"/>
      <c r="N162" s="2"/>
      <c r="O162" s="2"/>
      <c r="P162" s="2"/>
      <c r="Q162" s="33"/>
      <c r="R162" s="34"/>
      <c r="S162" s="33"/>
    </row>
    <row r="163" customFormat="false" ht="15" hidden="false" customHeight="false" outlineLevel="0" collapsed="false">
      <c r="A163" s="35"/>
      <c r="B163" s="36" t="str">
        <f aca="false">IF(A163="","",YEAR(A163)&amp;"-"&amp;TEXT(MONTH(A163),"00"))</f>
        <v/>
      </c>
      <c r="C163" s="34"/>
      <c r="D163" s="2"/>
      <c r="E163" s="35"/>
      <c r="F163" s="33"/>
      <c r="G163" s="34"/>
      <c r="H163" s="2"/>
      <c r="I163" s="2"/>
      <c r="J163" s="2"/>
      <c r="K163" s="2"/>
      <c r="L163" s="2"/>
      <c r="M163" s="2"/>
      <c r="N163" s="2"/>
      <c r="O163" s="2"/>
      <c r="P163" s="2"/>
      <c r="Q163" s="33"/>
      <c r="R163" s="34"/>
      <c r="S163" s="33"/>
    </row>
    <row r="164" customFormat="false" ht="15" hidden="false" customHeight="false" outlineLevel="0" collapsed="false">
      <c r="A164" s="35"/>
      <c r="B164" s="36" t="str">
        <f aca="false">IF(A164="","",YEAR(A164)&amp;"-"&amp;TEXT(MONTH(A164),"00"))</f>
        <v/>
      </c>
      <c r="C164" s="34"/>
      <c r="D164" s="2"/>
      <c r="E164" s="35"/>
      <c r="F164" s="33"/>
      <c r="G164" s="34"/>
      <c r="H164" s="2"/>
      <c r="I164" s="2"/>
      <c r="J164" s="2"/>
      <c r="K164" s="2"/>
      <c r="L164" s="2"/>
      <c r="M164" s="2"/>
      <c r="N164" s="2"/>
      <c r="O164" s="2"/>
      <c r="P164" s="2"/>
      <c r="Q164" s="33"/>
      <c r="R164" s="34"/>
      <c r="S164" s="33"/>
    </row>
    <row r="165" customFormat="false" ht="15" hidden="false" customHeight="false" outlineLevel="0" collapsed="false">
      <c r="A165" s="35"/>
      <c r="B165" s="36" t="str">
        <f aca="false">IF(A165="","",YEAR(A165)&amp;"-"&amp;TEXT(MONTH(A165),"00"))</f>
        <v/>
      </c>
      <c r="C165" s="34"/>
      <c r="D165" s="2"/>
      <c r="E165" s="35"/>
      <c r="F165" s="33"/>
      <c r="G165" s="34"/>
      <c r="H165" s="2"/>
      <c r="I165" s="2"/>
      <c r="J165" s="2"/>
      <c r="K165" s="2"/>
      <c r="L165" s="2"/>
      <c r="M165" s="2"/>
      <c r="N165" s="2"/>
      <c r="O165" s="2"/>
      <c r="P165" s="2"/>
      <c r="Q165" s="33"/>
      <c r="R165" s="34"/>
      <c r="S165" s="33"/>
    </row>
    <row r="166" customFormat="false" ht="15" hidden="false" customHeight="false" outlineLevel="0" collapsed="false">
      <c r="A166" s="35"/>
      <c r="B166" s="36" t="str">
        <f aca="false">IF(A166="","",YEAR(A166)&amp;"-"&amp;TEXT(MONTH(A166),"00"))</f>
        <v/>
      </c>
      <c r="C166" s="34"/>
      <c r="D166" s="2"/>
      <c r="E166" s="35"/>
      <c r="F166" s="33"/>
      <c r="G166" s="34"/>
      <c r="H166" s="2"/>
      <c r="I166" s="2"/>
      <c r="J166" s="2"/>
      <c r="K166" s="2"/>
      <c r="L166" s="2"/>
      <c r="M166" s="2"/>
      <c r="N166" s="2"/>
      <c r="O166" s="2"/>
      <c r="P166" s="2"/>
      <c r="Q166" s="33"/>
      <c r="R166" s="34"/>
      <c r="S166" s="33"/>
    </row>
    <row r="167" customFormat="false" ht="15" hidden="false" customHeight="false" outlineLevel="0" collapsed="false">
      <c r="A167" s="35"/>
      <c r="B167" s="36" t="str">
        <f aca="false">IF(A167="","",YEAR(A167)&amp;"-"&amp;TEXT(MONTH(A167),"00"))</f>
        <v/>
      </c>
      <c r="C167" s="34"/>
      <c r="D167" s="2"/>
      <c r="E167" s="35"/>
      <c r="F167" s="33"/>
      <c r="G167" s="34"/>
      <c r="H167" s="2"/>
      <c r="I167" s="2"/>
      <c r="J167" s="2"/>
      <c r="K167" s="2"/>
      <c r="L167" s="2"/>
      <c r="M167" s="2"/>
      <c r="N167" s="2"/>
      <c r="O167" s="2"/>
      <c r="P167" s="2"/>
      <c r="Q167" s="33"/>
      <c r="R167" s="34"/>
      <c r="S167" s="33"/>
    </row>
    <row r="168" customFormat="false" ht="15" hidden="false" customHeight="false" outlineLevel="0" collapsed="false">
      <c r="A168" s="35"/>
      <c r="B168" s="36" t="str">
        <f aca="false">IF(A168="","",YEAR(A168)&amp;"-"&amp;TEXT(MONTH(A168),"00"))</f>
        <v/>
      </c>
      <c r="C168" s="34"/>
      <c r="D168" s="2"/>
      <c r="E168" s="35"/>
      <c r="F168" s="33"/>
      <c r="G168" s="34"/>
      <c r="H168" s="2"/>
      <c r="I168" s="2"/>
      <c r="J168" s="2"/>
      <c r="K168" s="2"/>
      <c r="L168" s="2"/>
      <c r="M168" s="2"/>
      <c r="N168" s="2"/>
      <c r="O168" s="2"/>
      <c r="P168" s="2"/>
      <c r="Q168" s="33"/>
      <c r="R168" s="34"/>
      <c r="S168" s="33"/>
    </row>
    <row r="169" customFormat="false" ht="15" hidden="false" customHeight="false" outlineLevel="0" collapsed="false">
      <c r="A169" s="35"/>
      <c r="B169" s="36" t="str">
        <f aca="false">IF(A169="","",YEAR(A169)&amp;"-"&amp;TEXT(MONTH(A169),"00"))</f>
        <v/>
      </c>
      <c r="C169" s="34"/>
      <c r="D169" s="2"/>
      <c r="E169" s="35"/>
      <c r="F169" s="33"/>
      <c r="G169" s="34"/>
      <c r="H169" s="2"/>
      <c r="I169" s="2"/>
      <c r="J169" s="2"/>
      <c r="K169" s="2"/>
      <c r="L169" s="2"/>
      <c r="M169" s="2"/>
      <c r="N169" s="2"/>
      <c r="O169" s="2"/>
      <c r="P169" s="2"/>
      <c r="Q169" s="33"/>
      <c r="R169" s="34"/>
      <c r="S169" s="33"/>
    </row>
    <row r="170" customFormat="false" ht="15" hidden="false" customHeight="false" outlineLevel="0" collapsed="false">
      <c r="A170" s="35"/>
      <c r="B170" s="36" t="str">
        <f aca="false">IF(A170="","",YEAR(A170)&amp;"-"&amp;TEXT(MONTH(A170),"00"))</f>
        <v/>
      </c>
      <c r="C170" s="34"/>
      <c r="D170" s="2"/>
      <c r="E170" s="35"/>
      <c r="F170" s="33"/>
      <c r="G170" s="34"/>
      <c r="H170" s="2"/>
      <c r="I170" s="2"/>
      <c r="J170" s="2"/>
      <c r="K170" s="2"/>
      <c r="L170" s="2"/>
      <c r="M170" s="2"/>
      <c r="N170" s="2"/>
      <c r="O170" s="2"/>
      <c r="P170" s="2"/>
      <c r="Q170" s="33"/>
      <c r="R170" s="34"/>
      <c r="S170" s="33"/>
    </row>
    <row r="171" customFormat="false" ht="15" hidden="false" customHeight="false" outlineLevel="0" collapsed="false">
      <c r="A171" s="35"/>
      <c r="B171" s="36" t="str">
        <f aca="false">IF(A171="","",YEAR(A171)&amp;"-"&amp;TEXT(MONTH(A171),"00"))</f>
        <v/>
      </c>
      <c r="C171" s="34"/>
      <c r="D171" s="2"/>
      <c r="E171" s="35"/>
      <c r="F171" s="33"/>
      <c r="G171" s="34"/>
      <c r="H171" s="2"/>
      <c r="I171" s="2"/>
      <c r="J171" s="2"/>
      <c r="K171" s="2"/>
      <c r="L171" s="2"/>
      <c r="M171" s="2"/>
      <c r="N171" s="2"/>
      <c r="O171" s="2"/>
      <c r="P171" s="2"/>
      <c r="Q171" s="33"/>
      <c r="R171" s="34"/>
      <c r="S171" s="33"/>
    </row>
    <row r="172" customFormat="false" ht="15" hidden="false" customHeight="false" outlineLevel="0" collapsed="false">
      <c r="A172" s="35"/>
      <c r="B172" s="36" t="str">
        <f aca="false">IF(A172="","",YEAR(A172)&amp;"-"&amp;TEXT(MONTH(A172),"00"))</f>
        <v/>
      </c>
      <c r="C172" s="34"/>
      <c r="D172" s="2"/>
      <c r="E172" s="35"/>
      <c r="F172" s="33"/>
      <c r="G172" s="34"/>
      <c r="H172" s="2"/>
      <c r="I172" s="2"/>
      <c r="J172" s="2"/>
      <c r="K172" s="2"/>
      <c r="L172" s="2"/>
      <c r="M172" s="2"/>
      <c r="N172" s="2"/>
      <c r="O172" s="2"/>
      <c r="P172" s="2"/>
      <c r="Q172" s="33"/>
      <c r="R172" s="34"/>
      <c r="S172" s="33"/>
    </row>
    <row r="173" customFormat="false" ht="15" hidden="false" customHeight="false" outlineLevel="0" collapsed="false">
      <c r="A173" s="35"/>
      <c r="B173" s="36" t="str">
        <f aca="false">IF(A173="","",YEAR(A173)&amp;"-"&amp;TEXT(MONTH(A173),"00"))</f>
        <v/>
      </c>
      <c r="C173" s="34"/>
      <c r="D173" s="2"/>
      <c r="E173" s="35"/>
      <c r="F173" s="33"/>
      <c r="G173" s="34"/>
      <c r="H173" s="2"/>
      <c r="I173" s="2"/>
      <c r="J173" s="2"/>
      <c r="K173" s="2"/>
      <c r="L173" s="2"/>
      <c r="M173" s="2"/>
      <c r="N173" s="2"/>
      <c r="O173" s="2"/>
      <c r="P173" s="2"/>
      <c r="Q173" s="33"/>
      <c r="R173" s="34"/>
      <c r="S173" s="33"/>
    </row>
    <row r="174" customFormat="false" ht="15" hidden="false" customHeight="false" outlineLevel="0" collapsed="false">
      <c r="A174" s="35"/>
      <c r="B174" s="36" t="str">
        <f aca="false">IF(A174="","",YEAR(A174)&amp;"-"&amp;TEXT(MONTH(A174),"00"))</f>
        <v/>
      </c>
      <c r="C174" s="34"/>
      <c r="D174" s="2"/>
      <c r="E174" s="35"/>
      <c r="F174" s="33"/>
      <c r="G174" s="34"/>
      <c r="H174" s="2"/>
      <c r="I174" s="2"/>
      <c r="J174" s="2"/>
      <c r="K174" s="2"/>
      <c r="L174" s="2"/>
      <c r="M174" s="2"/>
      <c r="N174" s="2"/>
      <c r="O174" s="2"/>
      <c r="P174" s="2"/>
      <c r="Q174" s="33"/>
      <c r="R174" s="34"/>
      <c r="S174" s="33"/>
    </row>
    <row r="175" customFormat="false" ht="15" hidden="false" customHeight="false" outlineLevel="0" collapsed="false">
      <c r="A175" s="35"/>
      <c r="B175" s="36" t="str">
        <f aca="false">IF(A175="","",YEAR(A175)&amp;"-"&amp;TEXT(MONTH(A175),"00"))</f>
        <v/>
      </c>
      <c r="C175" s="34"/>
      <c r="D175" s="2"/>
      <c r="E175" s="35"/>
      <c r="F175" s="33"/>
      <c r="G175" s="34"/>
      <c r="H175" s="2"/>
      <c r="I175" s="2"/>
      <c r="J175" s="2"/>
      <c r="K175" s="2"/>
      <c r="L175" s="2"/>
      <c r="M175" s="2"/>
      <c r="N175" s="2"/>
      <c r="O175" s="2"/>
      <c r="P175" s="2"/>
      <c r="Q175" s="33"/>
      <c r="R175" s="34"/>
      <c r="S175" s="33"/>
    </row>
    <row r="176" customFormat="false" ht="15" hidden="false" customHeight="false" outlineLevel="0" collapsed="false">
      <c r="A176" s="35"/>
      <c r="B176" s="36" t="str">
        <f aca="false">IF(A176="","",YEAR(A176)&amp;"-"&amp;TEXT(MONTH(A176),"00"))</f>
        <v/>
      </c>
      <c r="C176" s="34"/>
      <c r="D176" s="2"/>
      <c r="E176" s="35"/>
      <c r="F176" s="33"/>
      <c r="G176" s="34"/>
      <c r="H176" s="2"/>
      <c r="I176" s="2"/>
      <c r="J176" s="2"/>
      <c r="K176" s="2"/>
      <c r="L176" s="2"/>
      <c r="M176" s="2"/>
      <c r="N176" s="2"/>
      <c r="O176" s="2"/>
      <c r="P176" s="2"/>
      <c r="Q176" s="33"/>
      <c r="R176" s="34"/>
      <c r="S176" s="33"/>
    </row>
    <row r="177" customFormat="false" ht="15" hidden="false" customHeight="false" outlineLevel="0" collapsed="false">
      <c r="A177" s="35"/>
      <c r="B177" s="36" t="str">
        <f aca="false">IF(A177="","",YEAR(A177)&amp;"-"&amp;TEXT(MONTH(A177),"00"))</f>
        <v/>
      </c>
      <c r="C177" s="34"/>
      <c r="D177" s="2"/>
      <c r="E177" s="35"/>
      <c r="F177" s="33"/>
      <c r="G177" s="34"/>
      <c r="H177" s="2"/>
      <c r="I177" s="2"/>
      <c r="J177" s="2"/>
      <c r="K177" s="2"/>
      <c r="L177" s="2"/>
      <c r="M177" s="2"/>
      <c r="N177" s="2"/>
      <c r="O177" s="2"/>
      <c r="P177" s="2"/>
      <c r="Q177" s="33"/>
      <c r="R177" s="34"/>
      <c r="S177" s="33"/>
    </row>
    <row r="178" customFormat="false" ht="15" hidden="false" customHeight="false" outlineLevel="0" collapsed="false">
      <c r="A178" s="35"/>
      <c r="B178" s="36" t="str">
        <f aca="false">IF(A178="","",YEAR(A178)&amp;"-"&amp;TEXT(MONTH(A178),"00"))</f>
        <v/>
      </c>
      <c r="C178" s="34"/>
      <c r="D178" s="2"/>
      <c r="E178" s="35"/>
      <c r="F178" s="33"/>
      <c r="G178" s="34"/>
      <c r="H178" s="2"/>
      <c r="I178" s="2"/>
      <c r="J178" s="2"/>
      <c r="K178" s="2"/>
      <c r="L178" s="2"/>
      <c r="M178" s="2"/>
      <c r="N178" s="2"/>
      <c r="O178" s="2"/>
      <c r="P178" s="2"/>
      <c r="Q178" s="33"/>
      <c r="R178" s="34"/>
      <c r="S178" s="33"/>
    </row>
    <row r="179" customFormat="false" ht="15" hidden="false" customHeight="false" outlineLevel="0" collapsed="false">
      <c r="A179" s="35"/>
      <c r="B179" s="36" t="str">
        <f aca="false">IF(A179="","",YEAR(A179)&amp;"-"&amp;TEXT(MONTH(A179),"00"))</f>
        <v/>
      </c>
      <c r="C179" s="34"/>
      <c r="D179" s="2"/>
      <c r="E179" s="35"/>
      <c r="F179" s="33"/>
      <c r="G179" s="34"/>
      <c r="H179" s="2"/>
      <c r="I179" s="2"/>
      <c r="J179" s="2"/>
      <c r="K179" s="2"/>
      <c r="L179" s="2"/>
      <c r="M179" s="2"/>
      <c r="N179" s="2"/>
      <c r="O179" s="2"/>
      <c r="P179" s="2"/>
      <c r="Q179" s="33"/>
      <c r="R179" s="34"/>
      <c r="S179" s="33"/>
    </row>
    <row r="180" customFormat="false" ht="15" hidden="false" customHeight="false" outlineLevel="0" collapsed="false">
      <c r="A180" s="35"/>
      <c r="B180" s="36" t="str">
        <f aca="false">IF(A180="","",YEAR(A180)&amp;"-"&amp;TEXT(MONTH(A180),"00"))</f>
        <v/>
      </c>
      <c r="C180" s="34"/>
      <c r="D180" s="2"/>
      <c r="E180" s="35"/>
      <c r="F180" s="33"/>
      <c r="G180" s="34"/>
      <c r="H180" s="2"/>
      <c r="I180" s="2"/>
      <c r="J180" s="2"/>
      <c r="K180" s="2"/>
      <c r="L180" s="2"/>
      <c r="M180" s="2"/>
      <c r="N180" s="2"/>
      <c r="O180" s="2"/>
      <c r="P180" s="2"/>
      <c r="Q180" s="33"/>
      <c r="R180" s="34"/>
      <c r="S180" s="33"/>
    </row>
    <row r="181" customFormat="false" ht="15" hidden="false" customHeight="false" outlineLevel="0" collapsed="false">
      <c r="A181" s="35"/>
      <c r="B181" s="36" t="str">
        <f aca="false">IF(A181="","",YEAR(A181)&amp;"-"&amp;TEXT(MONTH(A181),"00"))</f>
        <v/>
      </c>
      <c r="C181" s="34"/>
      <c r="D181" s="2"/>
      <c r="E181" s="35"/>
      <c r="F181" s="33"/>
      <c r="G181" s="34"/>
      <c r="H181" s="2"/>
      <c r="I181" s="2"/>
      <c r="J181" s="2"/>
      <c r="K181" s="2"/>
      <c r="L181" s="2"/>
      <c r="M181" s="2"/>
      <c r="N181" s="2"/>
      <c r="O181" s="2"/>
      <c r="P181" s="2"/>
      <c r="Q181" s="33"/>
      <c r="R181" s="34"/>
      <c r="S181" s="33"/>
    </row>
    <row r="182" customFormat="false" ht="15" hidden="false" customHeight="false" outlineLevel="0" collapsed="false">
      <c r="A182" s="35"/>
      <c r="B182" s="36" t="str">
        <f aca="false">IF(A182="","",YEAR(A182)&amp;"-"&amp;TEXT(MONTH(A182),"00"))</f>
        <v/>
      </c>
      <c r="C182" s="34"/>
      <c r="D182" s="2"/>
      <c r="E182" s="35"/>
      <c r="F182" s="33"/>
      <c r="G182" s="34"/>
      <c r="H182" s="2"/>
      <c r="I182" s="2"/>
      <c r="J182" s="2"/>
      <c r="K182" s="2"/>
      <c r="L182" s="2"/>
      <c r="M182" s="2"/>
      <c r="N182" s="2"/>
      <c r="O182" s="2"/>
      <c r="P182" s="2"/>
      <c r="Q182" s="33"/>
      <c r="R182" s="34"/>
      <c r="S182" s="33"/>
    </row>
    <row r="183" customFormat="false" ht="15" hidden="false" customHeight="false" outlineLevel="0" collapsed="false">
      <c r="A183" s="35"/>
      <c r="B183" s="36" t="str">
        <f aca="false">IF(A183="","",YEAR(A183)&amp;"-"&amp;TEXT(MONTH(A183),"00"))</f>
        <v/>
      </c>
      <c r="C183" s="34"/>
      <c r="D183" s="2"/>
      <c r="E183" s="35"/>
      <c r="F183" s="33"/>
      <c r="G183" s="34"/>
      <c r="H183" s="2"/>
      <c r="I183" s="2"/>
      <c r="J183" s="2"/>
      <c r="K183" s="2"/>
      <c r="L183" s="2"/>
      <c r="M183" s="2"/>
      <c r="N183" s="2"/>
      <c r="O183" s="2"/>
      <c r="P183" s="2"/>
      <c r="Q183" s="33"/>
      <c r="R183" s="34"/>
      <c r="S183" s="33"/>
    </row>
    <row r="184" customFormat="false" ht="15" hidden="false" customHeight="false" outlineLevel="0" collapsed="false">
      <c r="A184" s="35"/>
      <c r="B184" s="36" t="str">
        <f aca="false">IF(A184="","",YEAR(A184)&amp;"-"&amp;TEXT(MONTH(A184),"00"))</f>
        <v/>
      </c>
      <c r="C184" s="34"/>
      <c r="D184" s="2"/>
      <c r="E184" s="35"/>
      <c r="F184" s="33"/>
      <c r="G184" s="34"/>
      <c r="H184" s="2"/>
      <c r="I184" s="2"/>
      <c r="J184" s="2"/>
      <c r="K184" s="2"/>
      <c r="L184" s="2"/>
      <c r="M184" s="2"/>
      <c r="N184" s="2"/>
      <c r="O184" s="2"/>
      <c r="P184" s="2"/>
      <c r="Q184" s="33"/>
      <c r="R184" s="34"/>
      <c r="S184" s="33"/>
    </row>
    <row r="185" customFormat="false" ht="15" hidden="false" customHeight="false" outlineLevel="0" collapsed="false">
      <c r="A185" s="35"/>
      <c r="B185" s="36" t="str">
        <f aca="false">IF(A185="","",YEAR(A185)&amp;"-"&amp;TEXT(MONTH(A185),"00"))</f>
        <v/>
      </c>
      <c r="C185" s="34"/>
      <c r="D185" s="2"/>
      <c r="E185" s="35"/>
      <c r="F185" s="33"/>
      <c r="G185" s="34"/>
      <c r="H185" s="2"/>
      <c r="I185" s="2"/>
      <c r="J185" s="2"/>
      <c r="K185" s="2"/>
      <c r="L185" s="2"/>
      <c r="M185" s="2"/>
      <c r="N185" s="2"/>
      <c r="O185" s="2"/>
      <c r="P185" s="2"/>
      <c r="Q185" s="33"/>
      <c r="R185" s="34"/>
      <c r="S185" s="33"/>
    </row>
    <row r="186" customFormat="false" ht="15" hidden="false" customHeight="false" outlineLevel="0" collapsed="false">
      <c r="A186" s="35"/>
      <c r="B186" s="36" t="str">
        <f aca="false">IF(A186="","",YEAR(A186)&amp;"-"&amp;TEXT(MONTH(A186),"00"))</f>
        <v/>
      </c>
      <c r="C186" s="34"/>
      <c r="D186" s="2"/>
      <c r="E186" s="35"/>
      <c r="F186" s="33"/>
      <c r="G186" s="34"/>
      <c r="H186" s="2"/>
      <c r="I186" s="2"/>
      <c r="J186" s="2"/>
      <c r="K186" s="2"/>
      <c r="L186" s="2"/>
      <c r="M186" s="2"/>
      <c r="N186" s="2"/>
      <c r="O186" s="2"/>
      <c r="P186" s="2"/>
      <c r="Q186" s="33"/>
      <c r="R186" s="34"/>
      <c r="S186" s="33"/>
    </row>
    <row r="187" customFormat="false" ht="15" hidden="false" customHeight="false" outlineLevel="0" collapsed="false">
      <c r="A187" s="35"/>
      <c r="B187" s="36" t="str">
        <f aca="false">IF(A187="","",YEAR(A187)&amp;"-"&amp;TEXT(MONTH(A187),"00"))</f>
        <v/>
      </c>
      <c r="C187" s="34"/>
      <c r="D187" s="2"/>
      <c r="E187" s="35"/>
      <c r="F187" s="33"/>
      <c r="G187" s="34"/>
      <c r="H187" s="2"/>
      <c r="I187" s="2"/>
      <c r="J187" s="2"/>
      <c r="K187" s="2"/>
      <c r="L187" s="2"/>
      <c r="M187" s="2"/>
      <c r="N187" s="2"/>
      <c r="O187" s="2"/>
      <c r="P187" s="2"/>
      <c r="Q187" s="33"/>
      <c r="R187" s="34"/>
      <c r="S187" s="33"/>
    </row>
    <row r="188" customFormat="false" ht="15" hidden="false" customHeight="false" outlineLevel="0" collapsed="false">
      <c r="A188" s="35"/>
      <c r="B188" s="36" t="str">
        <f aca="false">IF(A188="","",YEAR(A188)&amp;"-"&amp;TEXT(MONTH(A188),"00"))</f>
        <v/>
      </c>
      <c r="C188" s="34"/>
      <c r="D188" s="2"/>
      <c r="E188" s="35"/>
      <c r="F188" s="33"/>
      <c r="G188" s="34"/>
      <c r="H188" s="2"/>
      <c r="I188" s="2"/>
      <c r="J188" s="2"/>
      <c r="K188" s="2"/>
      <c r="L188" s="2"/>
      <c r="M188" s="2"/>
      <c r="N188" s="2"/>
      <c r="O188" s="2"/>
      <c r="P188" s="2"/>
      <c r="Q188" s="33"/>
      <c r="R188" s="34"/>
      <c r="S188" s="33"/>
    </row>
    <row r="189" customFormat="false" ht="15" hidden="false" customHeight="false" outlineLevel="0" collapsed="false">
      <c r="A189" s="35"/>
      <c r="B189" s="36" t="str">
        <f aca="false">IF(A189="","",YEAR(A189)&amp;"-"&amp;TEXT(MONTH(A189),"00"))</f>
        <v/>
      </c>
      <c r="C189" s="34"/>
      <c r="D189" s="2"/>
      <c r="E189" s="35"/>
      <c r="F189" s="33"/>
      <c r="G189" s="34"/>
      <c r="H189" s="2"/>
      <c r="I189" s="2"/>
      <c r="J189" s="2"/>
      <c r="K189" s="2"/>
      <c r="L189" s="2"/>
      <c r="M189" s="2"/>
      <c r="N189" s="2"/>
      <c r="O189" s="2"/>
      <c r="P189" s="2"/>
      <c r="Q189" s="33"/>
      <c r="R189" s="34"/>
      <c r="S189" s="33"/>
    </row>
    <row r="190" customFormat="false" ht="15" hidden="false" customHeight="false" outlineLevel="0" collapsed="false">
      <c r="A190" s="35"/>
      <c r="B190" s="36" t="str">
        <f aca="false">IF(A190="","",YEAR(A190)&amp;"-"&amp;TEXT(MONTH(A190),"00"))</f>
        <v/>
      </c>
      <c r="C190" s="34"/>
      <c r="D190" s="2"/>
      <c r="E190" s="35"/>
      <c r="F190" s="33"/>
      <c r="G190" s="34"/>
      <c r="H190" s="2"/>
      <c r="I190" s="2"/>
      <c r="J190" s="2"/>
      <c r="K190" s="2"/>
      <c r="L190" s="2"/>
      <c r="M190" s="2"/>
      <c r="N190" s="2"/>
      <c r="O190" s="2"/>
      <c r="P190" s="2"/>
      <c r="Q190" s="33"/>
      <c r="R190" s="34"/>
      <c r="S190" s="33"/>
    </row>
    <row r="191" customFormat="false" ht="15" hidden="false" customHeight="false" outlineLevel="0" collapsed="false">
      <c r="A191" s="35"/>
      <c r="B191" s="36" t="str">
        <f aca="false">IF(A191="","",YEAR(A191)&amp;"-"&amp;TEXT(MONTH(A191),"00"))</f>
        <v/>
      </c>
      <c r="C191" s="34"/>
      <c r="D191" s="2"/>
      <c r="E191" s="35"/>
      <c r="F191" s="33"/>
      <c r="G191" s="34"/>
      <c r="H191" s="2"/>
      <c r="I191" s="2"/>
      <c r="J191" s="2"/>
      <c r="K191" s="2"/>
      <c r="L191" s="2"/>
      <c r="M191" s="2"/>
      <c r="N191" s="2"/>
      <c r="O191" s="2"/>
      <c r="P191" s="2"/>
      <c r="Q191" s="33"/>
      <c r="R191" s="34"/>
      <c r="S191" s="33"/>
    </row>
    <row r="192" customFormat="false" ht="15" hidden="false" customHeight="false" outlineLevel="0" collapsed="false">
      <c r="A192" s="35"/>
      <c r="B192" s="36" t="str">
        <f aca="false">IF(A192="","",YEAR(A192)&amp;"-"&amp;TEXT(MONTH(A192),"00"))</f>
        <v/>
      </c>
      <c r="C192" s="34"/>
      <c r="D192" s="2"/>
      <c r="E192" s="35"/>
      <c r="F192" s="33"/>
      <c r="G192" s="34"/>
      <c r="H192" s="2"/>
      <c r="I192" s="2"/>
      <c r="J192" s="2"/>
      <c r="K192" s="2"/>
      <c r="L192" s="2"/>
      <c r="M192" s="2"/>
      <c r="N192" s="2"/>
      <c r="O192" s="2"/>
      <c r="P192" s="2"/>
      <c r="Q192" s="33"/>
      <c r="R192" s="34"/>
      <c r="S192" s="33"/>
    </row>
    <row r="193" customFormat="false" ht="15" hidden="false" customHeight="false" outlineLevel="0" collapsed="false">
      <c r="A193" s="35"/>
      <c r="B193" s="36" t="str">
        <f aca="false">IF(A193="","",YEAR(A193)&amp;"-"&amp;TEXT(MONTH(A193),"00"))</f>
        <v/>
      </c>
      <c r="C193" s="34"/>
      <c r="D193" s="2"/>
      <c r="E193" s="35"/>
      <c r="F193" s="33"/>
      <c r="G193" s="34"/>
      <c r="H193" s="2"/>
      <c r="I193" s="2"/>
      <c r="J193" s="2"/>
      <c r="K193" s="2"/>
      <c r="L193" s="2"/>
      <c r="M193" s="2"/>
      <c r="N193" s="2"/>
      <c r="O193" s="2"/>
      <c r="P193" s="2"/>
      <c r="Q193" s="33"/>
      <c r="R193" s="34"/>
      <c r="S193" s="33"/>
    </row>
    <row r="194" customFormat="false" ht="15" hidden="false" customHeight="false" outlineLevel="0" collapsed="false">
      <c r="A194" s="35"/>
      <c r="B194" s="36" t="str">
        <f aca="false">IF(A194="","",YEAR(A194)&amp;"-"&amp;TEXT(MONTH(A194),"00"))</f>
        <v/>
      </c>
      <c r="C194" s="34"/>
      <c r="D194" s="2"/>
      <c r="E194" s="35"/>
      <c r="F194" s="33"/>
      <c r="G194" s="34"/>
      <c r="H194" s="2"/>
      <c r="I194" s="2"/>
      <c r="J194" s="2"/>
      <c r="K194" s="2"/>
      <c r="L194" s="2"/>
      <c r="M194" s="2"/>
      <c r="N194" s="2"/>
      <c r="O194" s="2"/>
      <c r="P194" s="2"/>
      <c r="Q194" s="33"/>
      <c r="R194" s="34"/>
      <c r="S194" s="33"/>
    </row>
    <row r="195" customFormat="false" ht="15" hidden="false" customHeight="false" outlineLevel="0" collapsed="false">
      <c r="A195" s="35"/>
      <c r="B195" s="36" t="str">
        <f aca="false">IF(A195="","",YEAR(A195)&amp;"-"&amp;TEXT(MONTH(A195),"00"))</f>
        <v/>
      </c>
      <c r="C195" s="34"/>
      <c r="D195" s="2"/>
      <c r="E195" s="35"/>
      <c r="F195" s="33"/>
      <c r="G195" s="34"/>
      <c r="H195" s="2"/>
      <c r="I195" s="2"/>
      <c r="J195" s="2"/>
      <c r="K195" s="2"/>
      <c r="L195" s="2"/>
      <c r="M195" s="2"/>
      <c r="N195" s="2"/>
      <c r="O195" s="2"/>
      <c r="P195" s="2"/>
      <c r="Q195" s="33"/>
      <c r="R195" s="34"/>
      <c r="S195" s="33"/>
    </row>
    <row r="196" customFormat="false" ht="15" hidden="false" customHeight="false" outlineLevel="0" collapsed="false">
      <c r="A196" s="35"/>
      <c r="B196" s="36" t="str">
        <f aca="false">IF(A196="","",YEAR(A196)&amp;"-"&amp;TEXT(MONTH(A196),"00"))</f>
        <v/>
      </c>
      <c r="C196" s="34"/>
      <c r="D196" s="2"/>
      <c r="E196" s="35"/>
      <c r="F196" s="33"/>
      <c r="G196" s="34"/>
      <c r="H196" s="2"/>
      <c r="I196" s="2"/>
      <c r="J196" s="2"/>
      <c r="K196" s="2"/>
      <c r="L196" s="2"/>
      <c r="M196" s="2"/>
      <c r="N196" s="2"/>
      <c r="O196" s="2"/>
      <c r="P196" s="2"/>
      <c r="Q196" s="33"/>
      <c r="R196" s="34"/>
      <c r="S196" s="33"/>
    </row>
    <row r="197" customFormat="false" ht="15" hidden="false" customHeight="false" outlineLevel="0" collapsed="false">
      <c r="A197" s="35"/>
      <c r="B197" s="36" t="str">
        <f aca="false">IF(A197="","",YEAR(A197)&amp;"-"&amp;TEXT(MONTH(A197),"00"))</f>
        <v/>
      </c>
      <c r="C197" s="34"/>
      <c r="D197" s="2"/>
      <c r="E197" s="35"/>
      <c r="F197" s="33"/>
      <c r="G197" s="34"/>
      <c r="H197" s="2"/>
      <c r="I197" s="2"/>
      <c r="J197" s="2"/>
      <c r="K197" s="2"/>
      <c r="L197" s="2"/>
      <c r="M197" s="2"/>
      <c r="N197" s="2"/>
      <c r="O197" s="2"/>
      <c r="P197" s="2"/>
      <c r="Q197" s="33"/>
      <c r="R197" s="34"/>
      <c r="S197" s="33"/>
    </row>
    <row r="198" customFormat="false" ht="15" hidden="false" customHeight="false" outlineLevel="0" collapsed="false">
      <c r="A198" s="35"/>
      <c r="B198" s="36" t="str">
        <f aca="false">IF(A198="","",YEAR(A198)&amp;"-"&amp;TEXT(MONTH(A198),"00"))</f>
        <v/>
      </c>
      <c r="C198" s="34"/>
      <c r="D198" s="2"/>
      <c r="E198" s="35"/>
      <c r="F198" s="33"/>
      <c r="G198" s="34"/>
      <c r="H198" s="2"/>
      <c r="I198" s="2"/>
      <c r="J198" s="2"/>
      <c r="K198" s="2"/>
      <c r="L198" s="2"/>
      <c r="M198" s="2"/>
      <c r="N198" s="2"/>
      <c r="O198" s="2"/>
      <c r="P198" s="2"/>
      <c r="Q198" s="33"/>
      <c r="R198" s="34"/>
      <c r="S198" s="33"/>
    </row>
    <row r="199" customFormat="false" ht="15" hidden="false" customHeight="false" outlineLevel="0" collapsed="false">
      <c r="A199" s="35"/>
      <c r="B199" s="36" t="str">
        <f aca="false">IF(A199="","",YEAR(A199)&amp;"-"&amp;TEXT(MONTH(A199),"00"))</f>
        <v/>
      </c>
      <c r="C199" s="34"/>
      <c r="D199" s="2"/>
      <c r="E199" s="35"/>
      <c r="F199" s="33"/>
      <c r="G199" s="34"/>
      <c r="H199" s="2"/>
      <c r="I199" s="2"/>
      <c r="J199" s="2"/>
      <c r="K199" s="2"/>
      <c r="L199" s="2"/>
      <c r="M199" s="2"/>
      <c r="N199" s="2"/>
      <c r="O199" s="2"/>
      <c r="P199" s="2"/>
      <c r="Q199" s="33"/>
      <c r="R199" s="34"/>
      <c r="S199" s="33"/>
    </row>
    <row r="200" customFormat="false" ht="15" hidden="false" customHeight="false" outlineLevel="0" collapsed="false">
      <c r="A200" s="35"/>
      <c r="B200" s="36" t="str">
        <f aca="false">IF(A200="","",YEAR(A200)&amp;"-"&amp;TEXT(MONTH(A200),"00"))</f>
        <v/>
      </c>
      <c r="C200" s="34"/>
      <c r="D200" s="2"/>
      <c r="E200" s="35"/>
      <c r="F200" s="33"/>
      <c r="G200" s="34"/>
      <c r="H200" s="2"/>
      <c r="I200" s="2"/>
      <c r="J200" s="2"/>
      <c r="K200" s="2"/>
      <c r="L200" s="2"/>
      <c r="M200" s="2"/>
      <c r="N200" s="2"/>
      <c r="O200" s="2"/>
      <c r="P200" s="2"/>
      <c r="Q200" s="33"/>
      <c r="R200" s="34"/>
      <c r="S200" s="33"/>
    </row>
    <row r="201" customFormat="false" ht="15" hidden="false" customHeight="false" outlineLevel="0" collapsed="false">
      <c r="A201" s="35"/>
      <c r="B201" s="36" t="str">
        <f aca="false">IF(A201="","",YEAR(A201)&amp;"-"&amp;TEXT(MONTH(A201),"00"))</f>
        <v/>
      </c>
      <c r="C201" s="34"/>
      <c r="D201" s="2"/>
      <c r="E201" s="35"/>
      <c r="F201" s="33"/>
      <c r="G201" s="34"/>
      <c r="H201" s="2"/>
      <c r="I201" s="2"/>
      <c r="J201" s="2"/>
      <c r="K201" s="2"/>
      <c r="L201" s="2"/>
      <c r="M201" s="2"/>
      <c r="N201" s="2"/>
      <c r="O201" s="2"/>
      <c r="P201" s="2"/>
      <c r="Q201" s="33"/>
      <c r="R201" s="34"/>
      <c r="S201" s="33"/>
    </row>
    <row r="202" customFormat="false" ht="15" hidden="false" customHeight="false" outlineLevel="0" collapsed="false">
      <c r="A202" s="35"/>
      <c r="B202" s="36" t="str">
        <f aca="false">IF(A202="","",YEAR(A202)&amp;"-"&amp;TEXT(MONTH(A202),"00"))</f>
        <v/>
      </c>
      <c r="C202" s="34"/>
      <c r="D202" s="2"/>
      <c r="E202" s="35"/>
      <c r="F202" s="33"/>
      <c r="G202" s="34"/>
      <c r="H202" s="2"/>
      <c r="I202" s="2"/>
      <c r="J202" s="2"/>
      <c r="K202" s="2"/>
      <c r="L202" s="2"/>
      <c r="M202" s="2"/>
      <c r="N202" s="2"/>
      <c r="O202" s="2"/>
      <c r="P202" s="2"/>
      <c r="Q202" s="33"/>
      <c r="R202" s="34"/>
      <c r="S202" s="33"/>
    </row>
    <row r="203" customFormat="false" ht="15" hidden="false" customHeight="false" outlineLevel="0" collapsed="false">
      <c r="A203" s="35"/>
      <c r="B203" s="36" t="str">
        <f aca="false">IF(A203="","",YEAR(A203)&amp;"-"&amp;TEXT(MONTH(A203),"00"))</f>
        <v/>
      </c>
      <c r="C203" s="34"/>
      <c r="D203" s="2"/>
      <c r="E203" s="35"/>
      <c r="F203" s="33"/>
      <c r="G203" s="34"/>
      <c r="H203" s="2"/>
      <c r="I203" s="2"/>
      <c r="J203" s="2"/>
      <c r="K203" s="2"/>
      <c r="L203" s="2"/>
      <c r="M203" s="2"/>
      <c r="N203" s="2"/>
      <c r="O203" s="2"/>
      <c r="P203" s="2"/>
      <c r="Q203" s="33"/>
      <c r="R203" s="34"/>
      <c r="S203" s="33"/>
    </row>
    <row r="204" customFormat="false" ht="15" hidden="false" customHeight="false" outlineLevel="0" collapsed="false">
      <c r="A204" s="35"/>
      <c r="B204" s="36" t="str">
        <f aca="false">IF(A204="","",YEAR(A204)&amp;"-"&amp;TEXT(MONTH(A204),"00"))</f>
        <v/>
      </c>
      <c r="C204" s="34"/>
      <c r="D204" s="2"/>
      <c r="E204" s="35"/>
      <c r="F204" s="33"/>
      <c r="G204" s="34"/>
      <c r="H204" s="2"/>
      <c r="I204" s="2"/>
      <c r="J204" s="2"/>
      <c r="K204" s="2"/>
      <c r="L204" s="2"/>
      <c r="M204" s="2"/>
      <c r="N204" s="2"/>
      <c r="O204" s="2"/>
      <c r="P204" s="2"/>
      <c r="Q204" s="33"/>
      <c r="R204" s="34"/>
      <c r="S204" s="33"/>
    </row>
    <row r="205" customFormat="false" ht="15" hidden="false" customHeight="false" outlineLevel="0" collapsed="false">
      <c r="A205" s="35"/>
      <c r="B205" s="36" t="str">
        <f aca="false">IF(A205="","",YEAR(A205)&amp;"-"&amp;TEXT(MONTH(A205),"00"))</f>
        <v/>
      </c>
      <c r="C205" s="34"/>
      <c r="D205" s="2"/>
      <c r="E205" s="35"/>
      <c r="F205" s="33"/>
      <c r="G205" s="34"/>
      <c r="H205" s="2"/>
      <c r="I205" s="2"/>
      <c r="J205" s="2"/>
      <c r="K205" s="2"/>
      <c r="L205" s="2"/>
      <c r="M205" s="2"/>
      <c r="N205" s="2"/>
      <c r="O205" s="2"/>
      <c r="P205" s="2"/>
      <c r="Q205" s="33"/>
      <c r="R205" s="34"/>
      <c r="S205" s="33"/>
    </row>
    <row r="206" customFormat="false" ht="15" hidden="false" customHeight="false" outlineLevel="0" collapsed="false">
      <c r="A206" s="35"/>
      <c r="B206" s="36" t="str">
        <f aca="false">IF(A206="","",YEAR(A206)&amp;"-"&amp;TEXT(MONTH(A206),"00"))</f>
        <v/>
      </c>
      <c r="C206" s="34"/>
      <c r="D206" s="2"/>
      <c r="E206" s="35"/>
      <c r="F206" s="33"/>
      <c r="G206" s="34"/>
      <c r="H206" s="2"/>
      <c r="I206" s="2"/>
      <c r="J206" s="2"/>
      <c r="K206" s="2"/>
      <c r="L206" s="2"/>
      <c r="M206" s="2"/>
      <c r="N206" s="2"/>
      <c r="O206" s="2"/>
      <c r="P206" s="2"/>
      <c r="Q206" s="33"/>
      <c r="R206" s="34"/>
      <c r="S206" s="33"/>
    </row>
    <row r="207" customFormat="false" ht="15" hidden="false" customHeight="false" outlineLevel="0" collapsed="false">
      <c r="A207" s="35"/>
      <c r="B207" s="36" t="str">
        <f aca="false">IF(A207="","",YEAR(A207)&amp;"-"&amp;TEXT(MONTH(A207),"00"))</f>
        <v/>
      </c>
      <c r="C207" s="34"/>
      <c r="D207" s="2"/>
      <c r="E207" s="35"/>
      <c r="F207" s="33"/>
      <c r="G207" s="34"/>
      <c r="H207" s="2"/>
      <c r="I207" s="2"/>
      <c r="J207" s="2"/>
      <c r="K207" s="2"/>
      <c r="L207" s="2"/>
      <c r="M207" s="2"/>
      <c r="N207" s="2"/>
      <c r="O207" s="2"/>
      <c r="P207" s="2"/>
      <c r="Q207" s="33"/>
      <c r="R207" s="34"/>
      <c r="S207" s="33"/>
    </row>
    <row r="208" customFormat="false" ht="15" hidden="false" customHeight="false" outlineLevel="0" collapsed="false">
      <c r="A208" s="35"/>
      <c r="B208" s="36" t="str">
        <f aca="false">IF(A208="","",YEAR(A208)&amp;"-"&amp;TEXT(MONTH(A208),"00"))</f>
        <v/>
      </c>
      <c r="C208" s="34"/>
      <c r="D208" s="2"/>
      <c r="E208" s="35"/>
      <c r="F208" s="33"/>
      <c r="G208" s="34"/>
      <c r="H208" s="2"/>
      <c r="I208" s="2"/>
      <c r="J208" s="2"/>
      <c r="K208" s="2"/>
      <c r="L208" s="2"/>
      <c r="M208" s="2"/>
      <c r="N208" s="2"/>
      <c r="O208" s="2"/>
      <c r="P208" s="2"/>
      <c r="Q208" s="33"/>
      <c r="R208" s="34"/>
      <c r="S208" s="33"/>
    </row>
    <row r="209" customFormat="false" ht="15" hidden="false" customHeight="false" outlineLevel="0" collapsed="false">
      <c r="A209" s="35"/>
      <c r="B209" s="36" t="str">
        <f aca="false">IF(A209="","",YEAR(A209)&amp;"-"&amp;TEXT(MONTH(A209),"00"))</f>
        <v/>
      </c>
      <c r="C209" s="34"/>
      <c r="D209" s="2"/>
      <c r="E209" s="35"/>
      <c r="F209" s="33"/>
      <c r="G209" s="34"/>
      <c r="H209" s="2"/>
      <c r="I209" s="2"/>
      <c r="J209" s="2"/>
      <c r="K209" s="2"/>
      <c r="L209" s="2"/>
      <c r="M209" s="2"/>
      <c r="N209" s="2"/>
      <c r="O209" s="2"/>
      <c r="P209" s="2"/>
      <c r="Q209" s="33"/>
      <c r="R209" s="34"/>
      <c r="S209" s="33"/>
    </row>
    <row r="210" customFormat="false" ht="15" hidden="false" customHeight="false" outlineLevel="0" collapsed="false">
      <c r="A210" s="35"/>
      <c r="B210" s="36" t="str">
        <f aca="false">IF(A210="","",YEAR(A210)&amp;"-"&amp;TEXT(MONTH(A210),"00"))</f>
        <v/>
      </c>
      <c r="C210" s="34"/>
      <c r="D210" s="2"/>
      <c r="E210" s="35"/>
      <c r="F210" s="33"/>
      <c r="G210" s="34"/>
      <c r="H210" s="2"/>
      <c r="I210" s="2"/>
      <c r="J210" s="2"/>
      <c r="K210" s="2"/>
      <c r="L210" s="2"/>
      <c r="M210" s="2"/>
      <c r="N210" s="2"/>
      <c r="O210" s="2"/>
      <c r="P210" s="2"/>
      <c r="Q210" s="33"/>
      <c r="R210" s="34"/>
      <c r="S210" s="33"/>
    </row>
    <row r="211" customFormat="false" ht="15" hidden="false" customHeight="false" outlineLevel="0" collapsed="false">
      <c r="A211" s="35"/>
      <c r="B211" s="36" t="str">
        <f aca="false">IF(A211="","",YEAR(A211)&amp;"-"&amp;TEXT(MONTH(A211),"00"))</f>
        <v/>
      </c>
      <c r="C211" s="34"/>
      <c r="D211" s="2"/>
      <c r="E211" s="35"/>
      <c r="F211" s="33"/>
      <c r="G211" s="34"/>
      <c r="H211" s="2"/>
      <c r="I211" s="2"/>
      <c r="J211" s="2"/>
      <c r="K211" s="2"/>
      <c r="L211" s="2"/>
      <c r="M211" s="2"/>
      <c r="N211" s="2"/>
      <c r="O211" s="2"/>
      <c r="P211" s="2"/>
      <c r="Q211" s="33"/>
      <c r="R211" s="34"/>
      <c r="S211" s="33"/>
    </row>
    <row r="212" customFormat="false" ht="15" hidden="false" customHeight="false" outlineLevel="0" collapsed="false">
      <c r="A212" s="35"/>
      <c r="B212" s="36" t="str">
        <f aca="false">IF(A212="","",YEAR(A212)&amp;"-"&amp;TEXT(MONTH(A212),"00"))</f>
        <v/>
      </c>
      <c r="C212" s="34"/>
      <c r="D212" s="2"/>
      <c r="E212" s="35"/>
      <c r="F212" s="33"/>
      <c r="G212" s="34"/>
      <c r="H212" s="2"/>
      <c r="I212" s="2"/>
      <c r="J212" s="2"/>
      <c r="K212" s="2"/>
      <c r="L212" s="2"/>
      <c r="M212" s="2"/>
      <c r="N212" s="2"/>
      <c r="O212" s="2"/>
      <c r="P212" s="2"/>
      <c r="Q212" s="33"/>
      <c r="R212" s="34"/>
      <c r="S212" s="33"/>
    </row>
    <row r="213" customFormat="false" ht="15" hidden="false" customHeight="false" outlineLevel="0" collapsed="false">
      <c r="A213" s="35"/>
      <c r="B213" s="36" t="str">
        <f aca="false">IF(A213="","",YEAR(A213)&amp;"-"&amp;TEXT(MONTH(A213),"00"))</f>
        <v/>
      </c>
      <c r="C213" s="34"/>
      <c r="D213" s="2"/>
      <c r="E213" s="35"/>
      <c r="F213" s="33"/>
      <c r="G213" s="34"/>
      <c r="H213" s="2"/>
      <c r="I213" s="2"/>
      <c r="J213" s="2"/>
      <c r="K213" s="2"/>
      <c r="L213" s="2"/>
      <c r="M213" s="2"/>
      <c r="N213" s="2"/>
      <c r="O213" s="2"/>
      <c r="P213" s="2"/>
      <c r="Q213" s="33"/>
      <c r="R213" s="34"/>
      <c r="S213" s="33"/>
    </row>
    <row r="214" customFormat="false" ht="15" hidden="false" customHeight="false" outlineLevel="0" collapsed="false">
      <c r="A214" s="35"/>
      <c r="B214" s="36" t="str">
        <f aca="false">IF(A214="","",YEAR(A214)&amp;"-"&amp;TEXT(MONTH(A214),"00"))</f>
        <v/>
      </c>
      <c r="C214" s="34"/>
      <c r="D214" s="2"/>
      <c r="E214" s="35"/>
      <c r="F214" s="33"/>
      <c r="G214" s="34"/>
      <c r="H214" s="2"/>
      <c r="I214" s="2"/>
      <c r="J214" s="2"/>
      <c r="K214" s="2"/>
      <c r="L214" s="2"/>
      <c r="M214" s="2"/>
      <c r="N214" s="2"/>
      <c r="O214" s="2"/>
      <c r="P214" s="2"/>
      <c r="Q214" s="33"/>
      <c r="R214" s="34"/>
      <c r="S214" s="33"/>
    </row>
    <row r="215" customFormat="false" ht="15" hidden="false" customHeight="false" outlineLevel="0" collapsed="false">
      <c r="A215" s="35"/>
      <c r="B215" s="36" t="str">
        <f aca="false">IF(A215="","",YEAR(A215)&amp;"-"&amp;TEXT(MONTH(A215),"00"))</f>
        <v/>
      </c>
      <c r="C215" s="34"/>
      <c r="D215" s="2"/>
      <c r="E215" s="35"/>
      <c r="F215" s="33"/>
      <c r="G215" s="34"/>
      <c r="H215" s="2"/>
      <c r="I215" s="2"/>
      <c r="J215" s="2"/>
      <c r="K215" s="2"/>
      <c r="L215" s="2"/>
      <c r="M215" s="2"/>
      <c r="N215" s="2"/>
      <c r="O215" s="2"/>
      <c r="P215" s="2"/>
      <c r="Q215" s="33"/>
      <c r="R215" s="34"/>
      <c r="S215" s="33"/>
    </row>
    <row r="216" customFormat="false" ht="15" hidden="false" customHeight="false" outlineLevel="0" collapsed="false">
      <c r="A216" s="35"/>
      <c r="B216" s="36" t="str">
        <f aca="false">IF(A216="","",YEAR(A216)&amp;"-"&amp;TEXT(MONTH(A216),"00"))</f>
        <v/>
      </c>
      <c r="C216" s="34"/>
      <c r="D216" s="2"/>
      <c r="E216" s="35"/>
      <c r="F216" s="33"/>
      <c r="G216" s="34"/>
      <c r="H216" s="2"/>
      <c r="I216" s="2"/>
      <c r="J216" s="2"/>
      <c r="K216" s="2"/>
      <c r="L216" s="2"/>
      <c r="M216" s="2"/>
      <c r="N216" s="2"/>
      <c r="O216" s="2"/>
      <c r="P216" s="2"/>
      <c r="Q216" s="33"/>
      <c r="R216" s="34"/>
      <c r="S216" s="33"/>
    </row>
    <row r="217" customFormat="false" ht="15" hidden="false" customHeight="false" outlineLevel="0" collapsed="false">
      <c r="A217" s="35"/>
      <c r="B217" s="36" t="str">
        <f aca="false">IF(A217="","",YEAR(A217)&amp;"-"&amp;TEXT(MONTH(A217),"00"))</f>
        <v/>
      </c>
      <c r="C217" s="34"/>
      <c r="D217" s="2"/>
      <c r="E217" s="35"/>
      <c r="F217" s="33"/>
      <c r="G217" s="34"/>
      <c r="H217" s="2"/>
      <c r="I217" s="2"/>
      <c r="J217" s="2"/>
      <c r="K217" s="2"/>
      <c r="L217" s="2"/>
      <c r="M217" s="2"/>
      <c r="N217" s="2"/>
      <c r="O217" s="2"/>
      <c r="P217" s="2"/>
      <c r="Q217" s="33"/>
      <c r="R217" s="34"/>
      <c r="S217" s="33"/>
    </row>
    <row r="218" customFormat="false" ht="15" hidden="false" customHeight="false" outlineLevel="0" collapsed="false">
      <c r="A218" s="35"/>
      <c r="B218" s="36" t="str">
        <f aca="false">IF(A218="","",YEAR(A218)&amp;"-"&amp;TEXT(MONTH(A218),"00"))</f>
        <v/>
      </c>
      <c r="C218" s="34"/>
      <c r="D218" s="2"/>
      <c r="E218" s="35"/>
      <c r="F218" s="33"/>
      <c r="G218" s="34"/>
      <c r="H218" s="2"/>
      <c r="I218" s="2"/>
      <c r="J218" s="2"/>
      <c r="K218" s="2"/>
      <c r="L218" s="2"/>
      <c r="M218" s="2"/>
      <c r="N218" s="2"/>
      <c r="O218" s="2"/>
      <c r="P218" s="2"/>
      <c r="Q218" s="33"/>
      <c r="R218" s="34"/>
      <c r="S218" s="33"/>
    </row>
    <row r="219" customFormat="false" ht="15" hidden="false" customHeight="false" outlineLevel="0" collapsed="false">
      <c r="A219" s="35"/>
      <c r="B219" s="36" t="str">
        <f aca="false">IF(A219="","",YEAR(A219)&amp;"-"&amp;TEXT(MONTH(A219),"00"))</f>
        <v/>
      </c>
      <c r="C219" s="34"/>
      <c r="D219" s="2"/>
      <c r="E219" s="35"/>
      <c r="F219" s="33"/>
      <c r="G219" s="34"/>
      <c r="H219" s="2"/>
      <c r="I219" s="2"/>
      <c r="J219" s="2"/>
      <c r="K219" s="2"/>
      <c r="L219" s="2"/>
      <c r="M219" s="2"/>
      <c r="N219" s="2"/>
      <c r="O219" s="2"/>
      <c r="P219" s="2"/>
      <c r="Q219" s="33"/>
      <c r="R219" s="34"/>
      <c r="S219" s="33"/>
    </row>
    <row r="220" customFormat="false" ht="15" hidden="false" customHeight="false" outlineLevel="0" collapsed="false">
      <c r="A220" s="35"/>
      <c r="B220" s="36" t="str">
        <f aca="false">IF(A220="","",YEAR(A220)&amp;"-"&amp;TEXT(MONTH(A220),"00"))</f>
        <v/>
      </c>
      <c r="C220" s="34"/>
      <c r="D220" s="2"/>
      <c r="E220" s="35"/>
      <c r="F220" s="33"/>
      <c r="G220" s="34"/>
      <c r="H220" s="2"/>
      <c r="I220" s="2"/>
      <c r="J220" s="2"/>
      <c r="K220" s="2"/>
      <c r="L220" s="2"/>
      <c r="M220" s="2"/>
      <c r="N220" s="2"/>
      <c r="O220" s="2"/>
      <c r="P220" s="2"/>
      <c r="Q220" s="33"/>
      <c r="R220" s="34"/>
      <c r="S220" s="33"/>
    </row>
    <row r="221" customFormat="false" ht="15" hidden="false" customHeight="false" outlineLevel="0" collapsed="false">
      <c r="A221" s="35"/>
      <c r="B221" s="36" t="str">
        <f aca="false">IF(A221="","",YEAR(A221)&amp;"-"&amp;TEXT(MONTH(A221),"00"))</f>
        <v/>
      </c>
      <c r="C221" s="34"/>
      <c r="D221" s="2"/>
      <c r="E221" s="35"/>
      <c r="F221" s="33"/>
      <c r="G221" s="34"/>
      <c r="H221" s="2"/>
      <c r="I221" s="2"/>
      <c r="J221" s="2"/>
      <c r="K221" s="2"/>
      <c r="L221" s="2"/>
      <c r="M221" s="2"/>
      <c r="N221" s="2"/>
      <c r="O221" s="2"/>
      <c r="P221" s="2"/>
      <c r="Q221" s="33"/>
      <c r="R221" s="34"/>
      <c r="S221" s="33"/>
    </row>
    <row r="222" customFormat="false" ht="15" hidden="false" customHeight="false" outlineLevel="0" collapsed="false">
      <c r="A222" s="35"/>
      <c r="B222" s="36" t="str">
        <f aca="false">IF(A222="","",YEAR(A222)&amp;"-"&amp;TEXT(MONTH(A222),"00"))</f>
        <v/>
      </c>
      <c r="C222" s="34"/>
      <c r="D222" s="2"/>
      <c r="E222" s="35"/>
      <c r="F222" s="33"/>
      <c r="G222" s="34"/>
      <c r="H222" s="2"/>
      <c r="I222" s="2"/>
      <c r="J222" s="2"/>
      <c r="K222" s="2"/>
      <c r="L222" s="2"/>
      <c r="M222" s="2"/>
      <c r="N222" s="2"/>
      <c r="O222" s="2"/>
      <c r="P222" s="2"/>
      <c r="Q222" s="33"/>
      <c r="R222" s="34"/>
      <c r="S222" s="33"/>
    </row>
    <row r="223" customFormat="false" ht="15" hidden="false" customHeight="false" outlineLevel="0" collapsed="false">
      <c r="A223" s="35"/>
      <c r="B223" s="36" t="str">
        <f aca="false">IF(A223="","",YEAR(A223)&amp;"-"&amp;TEXT(MONTH(A223),"00"))</f>
        <v/>
      </c>
      <c r="C223" s="34"/>
      <c r="D223" s="2"/>
      <c r="E223" s="35"/>
      <c r="F223" s="33"/>
      <c r="G223" s="34"/>
      <c r="H223" s="2"/>
      <c r="I223" s="2"/>
      <c r="J223" s="2"/>
      <c r="K223" s="2"/>
      <c r="L223" s="2"/>
      <c r="M223" s="2"/>
      <c r="N223" s="2"/>
      <c r="O223" s="2"/>
      <c r="P223" s="2"/>
      <c r="Q223" s="33"/>
      <c r="R223" s="34"/>
      <c r="S223" s="33"/>
    </row>
    <row r="224" customFormat="false" ht="15" hidden="false" customHeight="false" outlineLevel="0" collapsed="false">
      <c r="A224" s="35"/>
      <c r="B224" s="36" t="str">
        <f aca="false">IF(A224="","",YEAR(A224)&amp;"-"&amp;TEXT(MONTH(A224),"00"))</f>
        <v/>
      </c>
      <c r="C224" s="34"/>
      <c r="D224" s="2"/>
      <c r="E224" s="35"/>
      <c r="F224" s="33"/>
      <c r="G224" s="34"/>
      <c r="H224" s="2"/>
      <c r="I224" s="2"/>
      <c r="J224" s="2"/>
      <c r="K224" s="2"/>
      <c r="L224" s="2"/>
      <c r="M224" s="2"/>
      <c r="N224" s="2"/>
      <c r="O224" s="2"/>
      <c r="P224" s="2"/>
      <c r="Q224" s="33"/>
      <c r="R224" s="34"/>
      <c r="S224" s="33"/>
    </row>
    <row r="225" customFormat="false" ht="15" hidden="false" customHeight="false" outlineLevel="0" collapsed="false">
      <c r="A225" s="35"/>
      <c r="B225" s="36" t="str">
        <f aca="false">IF(A225="","",YEAR(A225)&amp;"-"&amp;TEXT(MONTH(A225),"00"))</f>
        <v/>
      </c>
      <c r="C225" s="34"/>
      <c r="D225" s="2"/>
      <c r="E225" s="35"/>
      <c r="F225" s="33"/>
      <c r="G225" s="34"/>
      <c r="H225" s="2"/>
      <c r="I225" s="2"/>
      <c r="J225" s="2"/>
      <c r="K225" s="2"/>
      <c r="L225" s="2"/>
      <c r="M225" s="2"/>
      <c r="N225" s="2"/>
      <c r="O225" s="2"/>
      <c r="P225" s="2"/>
      <c r="Q225" s="33"/>
      <c r="R225" s="34"/>
      <c r="S225" s="33"/>
    </row>
    <row r="226" customFormat="false" ht="15" hidden="false" customHeight="false" outlineLevel="0" collapsed="false">
      <c r="A226" s="35"/>
      <c r="B226" s="36" t="str">
        <f aca="false">IF(A226="","",YEAR(A226)&amp;"-"&amp;TEXT(MONTH(A226),"00"))</f>
        <v/>
      </c>
      <c r="C226" s="34"/>
      <c r="D226" s="2"/>
      <c r="E226" s="35"/>
      <c r="F226" s="33"/>
      <c r="G226" s="34"/>
      <c r="H226" s="2"/>
      <c r="I226" s="2"/>
      <c r="J226" s="2"/>
      <c r="K226" s="2"/>
      <c r="L226" s="2"/>
      <c r="M226" s="2"/>
      <c r="N226" s="2"/>
      <c r="O226" s="2"/>
      <c r="P226" s="2"/>
      <c r="Q226" s="33"/>
      <c r="R226" s="34"/>
      <c r="S226" s="33"/>
    </row>
    <row r="227" customFormat="false" ht="15" hidden="false" customHeight="false" outlineLevel="0" collapsed="false">
      <c r="A227" s="35"/>
      <c r="B227" s="36" t="str">
        <f aca="false">IF(A227="","",YEAR(A227)&amp;"-"&amp;TEXT(MONTH(A227),"00"))</f>
        <v/>
      </c>
      <c r="C227" s="34"/>
      <c r="D227" s="2"/>
      <c r="E227" s="35"/>
      <c r="F227" s="33"/>
      <c r="G227" s="34"/>
      <c r="H227" s="2"/>
      <c r="I227" s="2"/>
      <c r="J227" s="2"/>
      <c r="K227" s="2"/>
      <c r="L227" s="2"/>
      <c r="M227" s="2"/>
      <c r="N227" s="2"/>
      <c r="O227" s="2"/>
      <c r="P227" s="2"/>
      <c r="Q227" s="33"/>
      <c r="R227" s="34"/>
      <c r="S227" s="33"/>
    </row>
    <row r="228" customFormat="false" ht="15" hidden="false" customHeight="false" outlineLevel="0" collapsed="false">
      <c r="A228" s="35"/>
      <c r="B228" s="36" t="str">
        <f aca="false">IF(A228="","",YEAR(A228)&amp;"-"&amp;TEXT(MONTH(A228),"00"))</f>
        <v/>
      </c>
      <c r="C228" s="34"/>
      <c r="D228" s="2"/>
      <c r="E228" s="35"/>
      <c r="F228" s="33"/>
      <c r="G228" s="34"/>
      <c r="H228" s="2"/>
      <c r="I228" s="2"/>
      <c r="J228" s="2"/>
      <c r="K228" s="2"/>
      <c r="L228" s="2"/>
      <c r="M228" s="2"/>
      <c r="N228" s="2"/>
      <c r="O228" s="2"/>
      <c r="P228" s="2"/>
      <c r="Q228" s="33"/>
      <c r="R228" s="34"/>
      <c r="S228" s="33"/>
    </row>
    <row r="229" customFormat="false" ht="15" hidden="false" customHeight="false" outlineLevel="0" collapsed="false">
      <c r="A229" s="35"/>
      <c r="B229" s="36" t="str">
        <f aca="false">IF(A229="","",YEAR(A229)&amp;"-"&amp;TEXT(MONTH(A229),"00"))</f>
        <v/>
      </c>
      <c r="C229" s="34"/>
      <c r="D229" s="2"/>
      <c r="E229" s="35"/>
      <c r="F229" s="33"/>
      <c r="G229" s="34"/>
      <c r="H229" s="2"/>
      <c r="I229" s="2"/>
      <c r="J229" s="2"/>
      <c r="K229" s="2"/>
      <c r="L229" s="2"/>
      <c r="M229" s="2"/>
      <c r="N229" s="2"/>
      <c r="O229" s="2"/>
      <c r="P229" s="2"/>
      <c r="Q229" s="33"/>
      <c r="R229" s="34"/>
      <c r="S229" s="33"/>
    </row>
    <row r="230" customFormat="false" ht="15" hidden="false" customHeight="false" outlineLevel="0" collapsed="false">
      <c r="A230" s="35"/>
      <c r="B230" s="36" t="str">
        <f aca="false">IF(A230="","",YEAR(A230)&amp;"-"&amp;TEXT(MONTH(A230),"00"))</f>
        <v/>
      </c>
      <c r="C230" s="34"/>
      <c r="D230" s="2"/>
      <c r="E230" s="35"/>
      <c r="F230" s="33"/>
      <c r="G230" s="34"/>
      <c r="H230" s="2"/>
      <c r="I230" s="2"/>
      <c r="J230" s="2"/>
      <c r="K230" s="2"/>
      <c r="L230" s="2"/>
      <c r="M230" s="2"/>
      <c r="N230" s="2"/>
      <c r="O230" s="2"/>
      <c r="P230" s="2"/>
      <c r="Q230" s="33"/>
      <c r="R230" s="34"/>
      <c r="S230" s="33"/>
    </row>
    <row r="231" customFormat="false" ht="15" hidden="false" customHeight="false" outlineLevel="0" collapsed="false">
      <c r="A231" s="35"/>
      <c r="B231" s="36" t="str">
        <f aca="false">IF(A231="","",YEAR(A231)&amp;"-"&amp;TEXT(MONTH(A231),"00"))</f>
        <v/>
      </c>
      <c r="C231" s="34"/>
      <c r="D231" s="2"/>
      <c r="E231" s="35"/>
      <c r="F231" s="33"/>
      <c r="G231" s="34"/>
      <c r="H231" s="2"/>
      <c r="I231" s="2"/>
      <c r="J231" s="2"/>
      <c r="K231" s="2"/>
      <c r="L231" s="2"/>
      <c r="M231" s="2"/>
      <c r="N231" s="2"/>
      <c r="O231" s="2"/>
      <c r="P231" s="2"/>
      <c r="Q231" s="33"/>
      <c r="R231" s="34"/>
      <c r="S231" s="33"/>
    </row>
    <row r="232" customFormat="false" ht="15" hidden="false" customHeight="false" outlineLevel="0" collapsed="false">
      <c r="A232" s="35"/>
      <c r="B232" s="36" t="str">
        <f aca="false">IF(A232="","",YEAR(A232)&amp;"-"&amp;TEXT(MONTH(A232),"00"))</f>
        <v/>
      </c>
      <c r="C232" s="34"/>
      <c r="D232" s="2"/>
      <c r="E232" s="35"/>
      <c r="F232" s="33"/>
      <c r="G232" s="34"/>
      <c r="H232" s="2"/>
      <c r="I232" s="2"/>
      <c r="J232" s="2"/>
      <c r="K232" s="2"/>
      <c r="L232" s="2"/>
      <c r="M232" s="2"/>
      <c r="N232" s="2"/>
      <c r="O232" s="2"/>
      <c r="P232" s="2"/>
      <c r="Q232" s="33"/>
      <c r="R232" s="34"/>
      <c r="S232" s="33"/>
    </row>
    <row r="233" customFormat="false" ht="15" hidden="false" customHeight="false" outlineLevel="0" collapsed="false">
      <c r="A233" s="35"/>
      <c r="B233" s="36" t="str">
        <f aca="false">IF(A233="","",YEAR(A233)&amp;"-"&amp;TEXT(MONTH(A233),"00"))</f>
        <v/>
      </c>
      <c r="C233" s="34"/>
      <c r="D233" s="2"/>
      <c r="E233" s="35"/>
      <c r="F233" s="33"/>
      <c r="G233" s="34"/>
      <c r="H233" s="2"/>
      <c r="I233" s="2"/>
      <c r="J233" s="2"/>
      <c r="K233" s="2"/>
      <c r="L233" s="2"/>
      <c r="M233" s="2"/>
      <c r="N233" s="2"/>
      <c r="O233" s="2"/>
      <c r="P233" s="2"/>
      <c r="Q233" s="33"/>
      <c r="R233" s="34"/>
      <c r="S233" s="33"/>
    </row>
    <row r="234" customFormat="false" ht="15" hidden="false" customHeight="false" outlineLevel="0" collapsed="false">
      <c r="A234" s="35"/>
      <c r="B234" s="36" t="str">
        <f aca="false">IF(A234="","",YEAR(A234)&amp;"-"&amp;TEXT(MONTH(A234),"00"))</f>
        <v/>
      </c>
      <c r="C234" s="34"/>
      <c r="D234" s="2"/>
      <c r="E234" s="35"/>
      <c r="F234" s="33"/>
      <c r="G234" s="34"/>
      <c r="H234" s="2"/>
      <c r="I234" s="2"/>
      <c r="J234" s="2"/>
      <c r="K234" s="2"/>
      <c r="L234" s="2"/>
      <c r="M234" s="2"/>
      <c r="N234" s="2"/>
      <c r="O234" s="2"/>
      <c r="P234" s="2"/>
      <c r="Q234" s="33"/>
      <c r="R234" s="34"/>
      <c r="S234" s="33"/>
    </row>
    <row r="235" customFormat="false" ht="15" hidden="false" customHeight="false" outlineLevel="0" collapsed="false">
      <c r="A235" s="35"/>
      <c r="B235" s="36" t="str">
        <f aca="false">IF(A235="","",YEAR(A235)&amp;"-"&amp;TEXT(MONTH(A235),"00"))</f>
        <v/>
      </c>
      <c r="C235" s="34"/>
      <c r="D235" s="2"/>
      <c r="E235" s="35"/>
      <c r="F235" s="33"/>
      <c r="G235" s="34"/>
      <c r="H235" s="2"/>
      <c r="I235" s="2"/>
      <c r="J235" s="2"/>
      <c r="K235" s="2"/>
      <c r="L235" s="2"/>
      <c r="M235" s="2"/>
      <c r="N235" s="2"/>
      <c r="O235" s="2"/>
      <c r="P235" s="2"/>
      <c r="Q235" s="33"/>
      <c r="R235" s="34"/>
      <c r="S235" s="33"/>
    </row>
    <row r="236" customFormat="false" ht="15" hidden="false" customHeight="false" outlineLevel="0" collapsed="false">
      <c r="A236" s="35"/>
      <c r="B236" s="36" t="str">
        <f aca="false">IF(A236="","",YEAR(A236)&amp;"-"&amp;TEXT(MONTH(A236),"00"))</f>
        <v/>
      </c>
      <c r="C236" s="34"/>
      <c r="D236" s="2"/>
      <c r="E236" s="35"/>
      <c r="F236" s="33"/>
      <c r="G236" s="34"/>
      <c r="H236" s="2"/>
      <c r="I236" s="2"/>
      <c r="J236" s="2"/>
      <c r="K236" s="2"/>
      <c r="L236" s="2"/>
      <c r="M236" s="2"/>
      <c r="N236" s="2"/>
      <c r="O236" s="2"/>
      <c r="P236" s="2"/>
      <c r="Q236" s="33"/>
      <c r="R236" s="34"/>
      <c r="S236" s="33"/>
    </row>
    <row r="237" customFormat="false" ht="15" hidden="false" customHeight="false" outlineLevel="0" collapsed="false">
      <c r="A237" s="35"/>
      <c r="B237" s="36" t="str">
        <f aca="false">IF(A237="","",YEAR(A237)&amp;"-"&amp;TEXT(MONTH(A237),"00"))</f>
        <v/>
      </c>
      <c r="C237" s="34"/>
      <c r="D237" s="2"/>
      <c r="E237" s="35"/>
      <c r="F237" s="33"/>
      <c r="G237" s="34"/>
      <c r="H237" s="2"/>
      <c r="I237" s="2"/>
      <c r="J237" s="2"/>
      <c r="K237" s="2"/>
      <c r="L237" s="2"/>
      <c r="M237" s="2"/>
      <c r="N237" s="2"/>
      <c r="O237" s="2"/>
      <c r="P237" s="2"/>
      <c r="Q237" s="33"/>
      <c r="R237" s="34"/>
      <c r="S237" s="33"/>
    </row>
    <row r="238" customFormat="false" ht="15" hidden="false" customHeight="false" outlineLevel="0" collapsed="false">
      <c r="A238" s="35"/>
      <c r="B238" s="36" t="str">
        <f aca="false">IF(A238="","",YEAR(A238)&amp;"-"&amp;TEXT(MONTH(A238),"00"))</f>
        <v/>
      </c>
      <c r="C238" s="34"/>
      <c r="D238" s="2"/>
      <c r="E238" s="35"/>
      <c r="F238" s="33"/>
      <c r="G238" s="34"/>
      <c r="H238" s="2"/>
      <c r="I238" s="2"/>
      <c r="J238" s="2"/>
      <c r="K238" s="2"/>
      <c r="L238" s="2"/>
      <c r="M238" s="2"/>
      <c r="N238" s="2"/>
      <c r="O238" s="2"/>
      <c r="P238" s="2"/>
      <c r="Q238" s="33"/>
      <c r="R238" s="34"/>
      <c r="S238" s="33"/>
    </row>
    <row r="239" customFormat="false" ht="15" hidden="false" customHeight="false" outlineLevel="0" collapsed="false">
      <c r="A239" s="35"/>
      <c r="B239" s="36" t="str">
        <f aca="false">IF(A239="","",YEAR(A239)&amp;"-"&amp;TEXT(MONTH(A239),"00"))</f>
        <v/>
      </c>
      <c r="C239" s="34"/>
      <c r="D239" s="2"/>
      <c r="E239" s="35"/>
      <c r="F239" s="33"/>
      <c r="G239" s="34"/>
      <c r="H239" s="2"/>
      <c r="I239" s="2"/>
      <c r="J239" s="2"/>
      <c r="K239" s="2"/>
      <c r="L239" s="2"/>
      <c r="M239" s="2"/>
      <c r="N239" s="2"/>
      <c r="O239" s="2"/>
      <c r="P239" s="2"/>
      <c r="Q239" s="33"/>
      <c r="R239" s="34"/>
      <c r="S239" s="33"/>
    </row>
    <row r="240" customFormat="false" ht="15" hidden="false" customHeight="false" outlineLevel="0" collapsed="false">
      <c r="A240" s="35"/>
      <c r="B240" s="36" t="str">
        <f aca="false">IF(A240="","",YEAR(A240)&amp;"-"&amp;TEXT(MONTH(A240),"00"))</f>
        <v/>
      </c>
      <c r="C240" s="34"/>
      <c r="D240" s="2"/>
      <c r="E240" s="35"/>
      <c r="F240" s="33"/>
      <c r="G240" s="34"/>
      <c r="H240" s="2"/>
      <c r="I240" s="2"/>
      <c r="J240" s="2"/>
      <c r="K240" s="2"/>
      <c r="L240" s="2"/>
      <c r="M240" s="2"/>
      <c r="N240" s="2"/>
      <c r="O240" s="2"/>
      <c r="P240" s="2"/>
      <c r="Q240" s="33"/>
      <c r="R240" s="34"/>
      <c r="S240" s="33"/>
    </row>
    <row r="241" customFormat="false" ht="15" hidden="false" customHeight="false" outlineLevel="0" collapsed="false">
      <c r="A241" s="35"/>
      <c r="B241" s="36" t="str">
        <f aca="false">IF(A241="","",YEAR(A241)&amp;"-"&amp;TEXT(MONTH(A241),"00"))</f>
        <v/>
      </c>
      <c r="C241" s="34"/>
      <c r="D241" s="2"/>
      <c r="E241" s="35"/>
      <c r="F241" s="33"/>
      <c r="G241" s="34"/>
      <c r="H241" s="2"/>
      <c r="I241" s="2"/>
      <c r="J241" s="2"/>
      <c r="K241" s="2"/>
      <c r="L241" s="2"/>
      <c r="M241" s="2"/>
      <c r="N241" s="2"/>
      <c r="O241" s="2"/>
      <c r="P241" s="2"/>
      <c r="Q241" s="33"/>
      <c r="R241" s="34"/>
      <c r="S241" s="33"/>
    </row>
    <row r="242" customFormat="false" ht="15" hidden="false" customHeight="false" outlineLevel="0" collapsed="false">
      <c r="A242" s="35"/>
      <c r="B242" s="36" t="str">
        <f aca="false">IF(A242="","",YEAR(A242)&amp;"-"&amp;TEXT(MONTH(A242),"00"))</f>
        <v/>
      </c>
      <c r="C242" s="34"/>
      <c r="D242" s="2"/>
      <c r="E242" s="35"/>
      <c r="F242" s="33"/>
      <c r="G242" s="34"/>
      <c r="H242" s="2"/>
      <c r="I242" s="2"/>
      <c r="J242" s="2"/>
      <c r="K242" s="2"/>
      <c r="L242" s="2"/>
      <c r="M242" s="2"/>
      <c r="N242" s="2"/>
      <c r="O242" s="2"/>
      <c r="P242" s="2"/>
      <c r="Q242" s="33"/>
      <c r="R242" s="34"/>
      <c r="S242" s="33"/>
    </row>
    <row r="243" customFormat="false" ht="15" hidden="false" customHeight="false" outlineLevel="0" collapsed="false">
      <c r="A243" s="35"/>
      <c r="B243" s="36" t="str">
        <f aca="false">IF(A243="","",YEAR(A243)&amp;"-"&amp;TEXT(MONTH(A243),"00"))</f>
        <v/>
      </c>
      <c r="C243" s="34"/>
      <c r="D243" s="2"/>
      <c r="E243" s="35"/>
      <c r="F243" s="33"/>
      <c r="G243" s="34"/>
      <c r="H243" s="2"/>
      <c r="I243" s="2"/>
      <c r="J243" s="2"/>
      <c r="K243" s="2"/>
      <c r="L243" s="2"/>
      <c r="M243" s="2"/>
      <c r="N243" s="2"/>
      <c r="O243" s="2"/>
      <c r="P243" s="2"/>
      <c r="Q243" s="33"/>
      <c r="R243" s="34"/>
      <c r="S243" s="33"/>
    </row>
    <row r="244" customFormat="false" ht="15" hidden="false" customHeight="false" outlineLevel="0" collapsed="false">
      <c r="A244" s="35"/>
      <c r="B244" s="36" t="str">
        <f aca="false">IF(A244="","",YEAR(A244)&amp;"-"&amp;TEXT(MONTH(A244),"00"))</f>
        <v/>
      </c>
      <c r="C244" s="34"/>
      <c r="D244" s="2"/>
      <c r="E244" s="35"/>
      <c r="F244" s="33"/>
      <c r="G244" s="34"/>
      <c r="H244" s="2"/>
      <c r="I244" s="2"/>
      <c r="J244" s="2"/>
      <c r="K244" s="2"/>
      <c r="L244" s="2"/>
      <c r="M244" s="2"/>
      <c r="N244" s="2"/>
      <c r="O244" s="2"/>
      <c r="P244" s="2"/>
      <c r="Q244" s="33"/>
      <c r="R244" s="34"/>
      <c r="S244" s="33"/>
    </row>
    <row r="245" customFormat="false" ht="15" hidden="false" customHeight="false" outlineLevel="0" collapsed="false">
      <c r="A245" s="35"/>
      <c r="B245" s="36" t="str">
        <f aca="false">IF(A245="","",YEAR(A245)&amp;"-"&amp;TEXT(MONTH(A245),"00"))</f>
        <v/>
      </c>
      <c r="C245" s="34"/>
      <c r="D245" s="2"/>
      <c r="E245" s="35"/>
      <c r="F245" s="33"/>
      <c r="G245" s="34"/>
      <c r="H245" s="2"/>
      <c r="I245" s="2"/>
      <c r="J245" s="2"/>
      <c r="K245" s="2"/>
      <c r="L245" s="2"/>
      <c r="M245" s="2"/>
      <c r="N245" s="2"/>
      <c r="O245" s="2"/>
      <c r="P245" s="2"/>
      <c r="Q245" s="33"/>
      <c r="R245" s="34"/>
      <c r="S245" s="33"/>
    </row>
    <row r="246" customFormat="false" ht="15" hidden="false" customHeight="false" outlineLevel="0" collapsed="false">
      <c r="A246" s="35"/>
      <c r="B246" s="36" t="str">
        <f aca="false">IF(A246="","",YEAR(A246)&amp;"-"&amp;TEXT(MONTH(A246),"00"))</f>
        <v/>
      </c>
      <c r="C246" s="34"/>
      <c r="D246" s="2"/>
      <c r="E246" s="35"/>
      <c r="F246" s="33"/>
      <c r="G246" s="34"/>
      <c r="H246" s="2"/>
      <c r="I246" s="2"/>
      <c r="J246" s="2"/>
      <c r="K246" s="2"/>
      <c r="L246" s="2"/>
      <c r="M246" s="2"/>
      <c r="N246" s="2"/>
      <c r="O246" s="2"/>
      <c r="P246" s="2"/>
      <c r="Q246" s="33"/>
      <c r="R246" s="34"/>
      <c r="S246" s="33"/>
    </row>
    <row r="247" customFormat="false" ht="15" hidden="false" customHeight="false" outlineLevel="0" collapsed="false">
      <c r="A247" s="35"/>
      <c r="B247" s="36" t="str">
        <f aca="false">IF(A247="","",YEAR(A247)&amp;"-"&amp;TEXT(MONTH(A247),"00"))</f>
        <v/>
      </c>
      <c r="C247" s="34"/>
      <c r="D247" s="2"/>
      <c r="E247" s="35"/>
      <c r="F247" s="33"/>
      <c r="G247" s="34"/>
      <c r="H247" s="2"/>
      <c r="I247" s="2"/>
      <c r="J247" s="2"/>
      <c r="K247" s="2"/>
      <c r="L247" s="2"/>
      <c r="M247" s="2"/>
      <c r="N247" s="2"/>
      <c r="O247" s="2"/>
      <c r="P247" s="2"/>
      <c r="Q247" s="33"/>
      <c r="R247" s="34"/>
      <c r="S247" s="33"/>
    </row>
    <row r="248" customFormat="false" ht="15" hidden="false" customHeight="false" outlineLevel="0" collapsed="false">
      <c r="A248" s="35"/>
      <c r="B248" s="36" t="str">
        <f aca="false">IF(A248="","",YEAR(A248)&amp;"-"&amp;TEXT(MONTH(A248),"00"))</f>
        <v/>
      </c>
      <c r="C248" s="34"/>
      <c r="D248" s="2"/>
      <c r="E248" s="35"/>
      <c r="F248" s="33"/>
      <c r="G248" s="34"/>
      <c r="H248" s="2"/>
      <c r="I248" s="2"/>
      <c r="J248" s="2"/>
      <c r="K248" s="2"/>
      <c r="L248" s="2"/>
      <c r="M248" s="2"/>
      <c r="N248" s="2"/>
      <c r="O248" s="2"/>
      <c r="P248" s="2"/>
      <c r="Q248" s="33"/>
      <c r="R248" s="34"/>
      <c r="S248" s="33"/>
    </row>
    <row r="249" customFormat="false" ht="15" hidden="false" customHeight="false" outlineLevel="0" collapsed="false">
      <c r="A249" s="35"/>
      <c r="B249" s="36" t="str">
        <f aca="false">IF(A249="","",YEAR(A249)&amp;"-"&amp;TEXT(MONTH(A249),"00"))</f>
        <v/>
      </c>
      <c r="C249" s="34"/>
      <c r="D249" s="2"/>
      <c r="E249" s="35"/>
      <c r="F249" s="33"/>
      <c r="G249" s="34"/>
      <c r="H249" s="2"/>
      <c r="I249" s="2"/>
      <c r="J249" s="2"/>
      <c r="K249" s="2"/>
      <c r="L249" s="2"/>
      <c r="M249" s="2"/>
      <c r="N249" s="2"/>
      <c r="O249" s="2"/>
      <c r="P249" s="2"/>
      <c r="Q249" s="33"/>
      <c r="R249" s="34"/>
      <c r="S249" s="33"/>
    </row>
    <row r="250" customFormat="false" ht="15" hidden="false" customHeight="false" outlineLevel="0" collapsed="false">
      <c r="A250" s="35"/>
      <c r="B250" s="36" t="str">
        <f aca="false">IF(A250="","",YEAR(A250)&amp;"-"&amp;TEXT(MONTH(A250),"00"))</f>
        <v/>
      </c>
      <c r="C250" s="34"/>
      <c r="D250" s="2"/>
      <c r="E250" s="35"/>
      <c r="F250" s="33"/>
      <c r="G250" s="34"/>
      <c r="H250" s="2"/>
      <c r="I250" s="2"/>
      <c r="J250" s="2"/>
      <c r="K250" s="2"/>
      <c r="L250" s="2"/>
      <c r="M250" s="2"/>
      <c r="N250" s="2"/>
      <c r="O250" s="2"/>
      <c r="P250" s="2"/>
      <c r="Q250" s="33"/>
      <c r="R250" s="34"/>
      <c r="S250" s="33"/>
    </row>
    <row r="251" customFormat="false" ht="15" hidden="false" customHeight="false" outlineLevel="0" collapsed="false">
      <c r="A251" s="35"/>
      <c r="B251" s="36" t="str">
        <f aca="false">IF(A251="","",YEAR(A251)&amp;"-"&amp;TEXT(MONTH(A251),"00"))</f>
        <v/>
      </c>
      <c r="C251" s="34"/>
      <c r="D251" s="2"/>
      <c r="E251" s="35"/>
      <c r="F251" s="33"/>
      <c r="G251" s="34"/>
      <c r="H251" s="2"/>
      <c r="I251" s="2"/>
      <c r="J251" s="2"/>
      <c r="K251" s="2"/>
      <c r="L251" s="2"/>
      <c r="M251" s="2"/>
      <c r="N251" s="2"/>
      <c r="O251" s="2"/>
      <c r="P251" s="2"/>
      <c r="Q251" s="33"/>
      <c r="R251" s="34"/>
      <c r="S251" s="33"/>
    </row>
    <row r="252" customFormat="false" ht="15" hidden="false" customHeight="false" outlineLevel="0" collapsed="false">
      <c r="A252" s="35"/>
      <c r="B252" s="36" t="str">
        <f aca="false">IF(A252="","",YEAR(A252)&amp;"-"&amp;TEXT(MONTH(A252),"00"))</f>
        <v/>
      </c>
      <c r="C252" s="34"/>
      <c r="D252" s="2"/>
      <c r="E252" s="35"/>
      <c r="F252" s="33"/>
      <c r="G252" s="34"/>
      <c r="H252" s="2"/>
      <c r="I252" s="2"/>
      <c r="J252" s="2"/>
      <c r="K252" s="2"/>
      <c r="L252" s="2"/>
      <c r="M252" s="2"/>
      <c r="N252" s="2"/>
      <c r="O252" s="2"/>
      <c r="P252" s="2"/>
      <c r="Q252" s="33"/>
      <c r="R252" s="34"/>
      <c r="S252" s="33"/>
    </row>
    <row r="253" customFormat="false" ht="15" hidden="false" customHeight="false" outlineLevel="0" collapsed="false">
      <c r="A253" s="35"/>
      <c r="B253" s="36" t="str">
        <f aca="false">IF(A253="","",YEAR(A253)&amp;"-"&amp;TEXT(MONTH(A253),"00"))</f>
        <v/>
      </c>
      <c r="C253" s="34"/>
      <c r="D253" s="2"/>
      <c r="E253" s="35"/>
      <c r="F253" s="33"/>
      <c r="G253" s="34"/>
      <c r="H253" s="2"/>
      <c r="I253" s="2"/>
      <c r="J253" s="2"/>
      <c r="K253" s="2"/>
      <c r="L253" s="2"/>
      <c r="M253" s="2"/>
      <c r="N253" s="2"/>
      <c r="O253" s="2"/>
      <c r="P253" s="2"/>
      <c r="Q253" s="33"/>
      <c r="R253" s="34"/>
      <c r="S253" s="33"/>
    </row>
    <row r="254" customFormat="false" ht="15" hidden="false" customHeight="false" outlineLevel="0" collapsed="false">
      <c r="A254" s="35"/>
      <c r="B254" s="36" t="str">
        <f aca="false">IF(A254="","",YEAR(A254)&amp;"-"&amp;TEXT(MONTH(A254),"00"))</f>
        <v/>
      </c>
      <c r="C254" s="34"/>
      <c r="D254" s="2"/>
      <c r="E254" s="35"/>
      <c r="F254" s="33"/>
      <c r="G254" s="34"/>
      <c r="H254" s="2"/>
      <c r="I254" s="2"/>
      <c r="J254" s="2"/>
      <c r="K254" s="2"/>
      <c r="L254" s="2"/>
      <c r="M254" s="2"/>
      <c r="N254" s="2"/>
      <c r="O254" s="2"/>
      <c r="P254" s="2"/>
      <c r="Q254" s="33"/>
      <c r="R254" s="34"/>
      <c r="S254" s="33"/>
    </row>
    <row r="255" customFormat="false" ht="15" hidden="false" customHeight="false" outlineLevel="0" collapsed="false">
      <c r="A255" s="35"/>
      <c r="B255" s="36" t="str">
        <f aca="false">IF(A255="","",YEAR(A255)&amp;"-"&amp;TEXT(MONTH(A255),"00"))</f>
        <v/>
      </c>
      <c r="C255" s="34"/>
      <c r="D255" s="2"/>
      <c r="E255" s="35"/>
      <c r="F255" s="33"/>
      <c r="G255" s="34"/>
      <c r="H255" s="2"/>
      <c r="I255" s="2"/>
      <c r="J255" s="2"/>
      <c r="K255" s="2"/>
      <c r="L255" s="2"/>
      <c r="M255" s="2"/>
      <c r="N255" s="2"/>
      <c r="O255" s="2"/>
      <c r="P255" s="2"/>
      <c r="Q255" s="33"/>
      <c r="R255" s="34"/>
      <c r="S255" s="33"/>
    </row>
    <row r="256" customFormat="false" ht="15" hidden="false" customHeight="false" outlineLevel="0" collapsed="false">
      <c r="A256" s="35"/>
      <c r="B256" s="36" t="str">
        <f aca="false">IF(A256="","",YEAR(A256)&amp;"-"&amp;TEXT(MONTH(A256),"00"))</f>
        <v/>
      </c>
      <c r="C256" s="34"/>
      <c r="D256" s="2"/>
      <c r="E256" s="35"/>
      <c r="F256" s="33"/>
      <c r="G256" s="34"/>
      <c r="H256" s="2"/>
      <c r="I256" s="2"/>
      <c r="J256" s="2"/>
      <c r="K256" s="2"/>
      <c r="L256" s="2"/>
      <c r="M256" s="2"/>
      <c r="N256" s="2"/>
      <c r="O256" s="2"/>
      <c r="P256" s="2"/>
      <c r="Q256" s="33"/>
      <c r="R256" s="34"/>
      <c r="S256" s="33"/>
    </row>
    <row r="257" customFormat="false" ht="15" hidden="false" customHeight="false" outlineLevel="0" collapsed="false">
      <c r="A257" s="35"/>
      <c r="B257" s="36" t="str">
        <f aca="false">IF(A257="","",YEAR(A257)&amp;"-"&amp;TEXT(MONTH(A257),"00"))</f>
        <v/>
      </c>
      <c r="C257" s="34"/>
      <c r="D257" s="2"/>
      <c r="E257" s="35"/>
      <c r="F257" s="33"/>
      <c r="G257" s="34"/>
      <c r="H257" s="2"/>
      <c r="I257" s="2"/>
      <c r="J257" s="2"/>
      <c r="K257" s="2"/>
      <c r="L257" s="2"/>
      <c r="M257" s="2"/>
      <c r="N257" s="2"/>
      <c r="O257" s="2"/>
      <c r="P257" s="2"/>
      <c r="Q257" s="33"/>
      <c r="R257" s="34"/>
      <c r="S257" s="33"/>
    </row>
    <row r="258" customFormat="false" ht="15" hidden="false" customHeight="false" outlineLevel="0" collapsed="false">
      <c r="A258" s="35"/>
      <c r="B258" s="36" t="str">
        <f aca="false">IF(A258="","",YEAR(A258)&amp;"-"&amp;TEXT(MONTH(A258),"00"))</f>
        <v/>
      </c>
      <c r="C258" s="34"/>
      <c r="D258" s="2"/>
      <c r="E258" s="35"/>
      <c r="F258" s="33"/>
      <c r="G258" s="34"/>
      <c r="H258" s="2"/>
      <c r="I258" s="2"/>
      <c r="J258" s="2"/>
      <c r="K258" s="2"/>
      <c r="L258" s="2"/>
      <c r="M258" s="2"/>
      <c r="N258" s="2"/>
      <c r="O258" s="2"/>
      <c r="P258" s="2"/>
      <c r="Q258" s="33"/>
      <c r="R258" s="34"/>
      <c r="S258" s="33"/>
    </row>
    <row r="259" customFormat="false" ht="15" hidden="false" customHeight="false" outlineLevel="0" collapsed="false">
      <c r="A259" s="35"/>
      <c r="B259" s="36" t="str">
        <f aca="false">IF(A259="","",YEAR(A259)&amp;"-"&amp;TEXT(MONTH(A259),"00"))</f>
        <v/>
      </c>
      <c r="C259" s="34"/>
      <c r="D259" s="2"/>
      <c r="E259" s="35"/>
      <c r="F259" s="33"/>
      <c r="G259" s="34"/>
      <c r="H259" s="2"/>
      <c r="I259" s="2"/>
      <c r="J259" s="2"/>
      <c r="K259" s="2"/>
      <c r="L259" s="2"/>
      <c r="M259" s="2"/>
      <c r="N259" s="2"/>
      <c r="O259" s="2"/>
      <c r="P259" s="2"/>
      <c r="Q259" s="33"/>
      <c r="R259" s="34"/>
      <c r="S259" s="33"/>
    </row>
    <row r="260" customFormat="false" ht="15" hidden="false" customHeight="false" outlineLevel="0" collapsed="false">
      <c r="A260" s="35"/>
      <c r="B260" s="36" t="str">
        <f aca="false">IF(A260="","",YEAR(A260)&amp;"-"&amp;TEXT(MONTH(A260),"00"))</f>
        <v/>
      </c>
      <c r="C260" s="34"/>
      <c r="D260" s="2"/>
      <c r="E260" s="35"/>
      <c r="F260" s="33"/>
      <c r="G260" s="34"/>
      <c r="H260" s="2"/>
      <c r="I260" s="2"/>
      <c r="J260" s="2"/>
      <c r="K260" s="2"/>
      <c r="L260" s="2"/>
      <c r="M260" s="2"/>
      <c r="N260" s="2"/>
      <c r="O260" s="2"/>
      <c r="P260" s="2"/>
      <c r="Q260" s="33"/>
      <c r="R260" s="34"/>
      <c r="S260" s="33"/>
    </row>
    <row r="261" customFormat="false" ht="15" hidden="false" customHeight="false" outlineLevel="0" collapsed="false">
      <c r="A261" s="35"/>
      <c r="B261" s="36" t="str">
        <f aca="false">IF(A261="","",YEAR(A261)&amp;"-"&amp;TEXT(MONTH(A261),"00"))</f>
        <v/>
      </c>
      <c r="C261" s="34"/>
      <c r="D261" s="2"/>
      <c r="E261" s="35"/>
      <c r="F261" s="33"/>
      <c r="G261" s="34"/>
      <c r="H261" s="2"/>
      <c r="I261" s="2"/>
      <c r="J261" s="2"/>
      <c r="K261" s="2"/>
      <c r="L261" s="2"/>
      <c r="M261" s="2"/>
      <c r="N261" s="2"/>
      <c r="O261" s="2"/>
      <c r="P261" s="2"/>
      <c r="Q261" s="33"/>
      <c r="R261" s="34"/>
      <c r="S261" s="33"/>
    </row>
    <row r="262" customFormat="false" ht="15" hidden="false" customHeight="false" outlineLevel="0" collapsed="false">
      <c r="A262" s="35"/>
      <c r="B262" s="36" t="str">
        <f aca="false">IF(A262="","",YEAR(A262)&amp;"-"&amp;TEXT(MONTH(A262),"00"))</f>
        <v/>
      </c>
      <c r="C262" s="34"/>
      <c r="D262" s="2"/>
      <c r="E262" s="35"/>
      <c r="F262" s="33"/>
      <c r="G262" s="34"/>
      <c r="H262" s="2"/>
      <c r="I262" s="2"/>
      <c r="J262" s="2"/>
      <c r="K262" s="2"/>
      <c r="L262" s="2"/>
      <c r="M262" s="2"/>
      <c r="N262" s="2"/>
      <c r="O262" s="2"/>
      <c r="P262" s="2"/>
      <c r="Q262" s="33"/>
      <c r="R262" s="34"/>
      <c r="S262" s="33"/>
    </row>
    <row r="263" customFormat="false" ht="15" hidden="false" customHeight="false" outlineLevel="0" collapsed="false">
      <c r="A263" s="35"/>
      <c r="B263" s="36" t="str">
        <f aca="false">IF(A263="","",YEAR(A263)&amp;"-"&amp;TEXT(MONTH(A263),"00"))</f>
        <v/>
      </c>
      <c r="C263" s="34"/>
      <c r="D263" s="2"/>
      <c r="E263" s="35"/>
      <c r="F263" s="33"/>
      <c r="G263" s="34"/>
      <c r="H263" s="2"/>
      <c r="I263" s="2"/>
      <c r="J263" s="2"/>
      <c r="K263" s="2"/>
      <c r="L263" s="2"/>
      <c r="M263" s="2"/>
      <c r="N263" s="2"/>
      <c r="O263" s="2"/>
      <c r="P263" s="2"/>
      <c r="Q263" s="33"/>
      <c r="R263" s="34"/>
      <c r="S263" s="33"/>
    </row>
    <row r="264" customFormat="false" ht="15" hidden="false" customHeight="false" outlineLevel="0" collapsed="false">
      <c r="A264" s="35"/>
      <c r="B264" s="36" t="str">
        <f aca="false">IF(A264="","",YEAR(A264)&amp;"-"&amp;TEXT(MONTH(A264),"00"))</f>
        <v/>
      </c>
      <c r="C264" s="34"/>
      <c r="D264" s="2"/>
      <c r="E264" s="35"/>
      <c r="F264" s="33"/>
      <c r="G264" s="34"/>
      <c r="H264" s="2"/>
      <c r="I264" s="2"/>
      <c r="J264" s="2"/>
      <c r="K264" s="2"/>
      <c r="L264" s="2"/>
      <c r="M264" s="2"/>
      <c r="N264" s="2"/>
      <c r="O264" s="2"/>
      <c r="P264" s="2"/>
      <c r="Q264" s="33"/>
      <c r="R264" s="34"/>
      <c r="S264" s="33"/>
    </row>
    <row r="265" customFormat="false" ht="15" hidden="false" customHeight="false" outlineLevel="0" collapsed="false">
      <c r="A265" s="35"/>
      <c r="B265" s="36" t="str">
        <f aca="false">IF(A265="","",YEAR(A265)&amp;"-"&amp;TEXT(MONTH(A265),"00"))</f>
        <v/>
      </c>
      <c r="C265" s="34"/>
      <c r="D265" s="2"/>
      <c r="E265" s="35"/>
      <c r="F265" s="33"/>
      <c r="G265" s="34"/>
      <c r="H265" s="2"/>
      <c r="I265" s="2"/>
      <c r="J265" s="2"/>
      <c r="K265" s="2"/>
      <c r="L265" s="2"/>
      <c r="M265" s="2"/>
      <c r="N265" s="2"/>
      <c r="O265" s="2"/>
      <c r="P265" s="2"/>
      <c r="Q265" s="33"/>
      <c r="R265" s="34"/>
      <c r="S265" s="33"/>
    </row>
    <row r="266" customFormat="false" ht="15" hidden="false" customHeight="false" outlineLevel="0" collapsed="false">
      <c r="A266" s="35"/>
      <c r="B266" s="36" t="str">
        <f aca="false">IF(A266="","",YEAR(A266)&amp;"-"&amp;TEXT(MONTH(A266),"00"))</f>
        <v/>
      </c>
      <c r="C266" s="34"/>
      <c r="D266" s="2"/>
      <c r="E266" s="35"/>
      <c r="F266" s="33"/>
      <c r="G266" s="34"/>
      <c r="H266" s="2"/>
      <c r="I266" s="2"/>
      <c r="J266" s="2"/>
      <c r="K266" s="2"/>
      <c r="L266" s="2"/>
      <c r="M266" s="2"/>
      <c r="N266" s="2"/>
      <c r="O266" s="2"/>
      <c r="P266" s="2"/>
      <c r="Q266" s="33"/>
      <c r="R266" s="34"/>
      <c r="S266" s="33"/>
    </row>
    <row r="267" customFormat="false" ht="15" hidden="false" customHeight="false" outlineLevel="0" collapsed="false">
      <c r="A267" s="35"/>
      <c r="B267" s="36" t="str">
        <f aca="false">IF(A267="","",YEAR(A267)&amp;"-"&amp;TEXT(MONTH(A267),"00"))</f>
        <v/>
      </c>
      <c r="C267" s="34"/>
      <c r="D267" s="2"/>
      <c r="E267" s="35"/>
      <c r="F267" s="33"/>
      <c r="G267" s="34"/>
      <c r="H267" s="2"/>
      <c r="I267" s="2"/>
      <c r="J267" s="2"/>
      <c r="K267" s="2"/>
      <c r="L267" s="2"/>
      <c r="M267" s="2"/>
      <c r="N267" s="2"/>
      <c r="O267" s="2"/>
      <c r="P267" s="2"/>
      <c r="Q267" s="33"/>
      <c r="R267" s="34"/>
      <c r="S267" s="33"/>
    </row>
    <row r="268" customFormat="false" ht="15" hidden="false" customHeight="false" outlineLevel="0" collapsed="false">
      <c r="A268" s="35"/>
      <c r="B268" s="36" t="str">
        <f aca="false">IF(A268="","",YEAR(A268)&amp;"-"&amp;TEXT(MONTH(A268),"00"))</f>
        <v/>
      </c>
      <c r="C268" s="34"/>
      <c r="D268" s="2"/>
      <c r="E268" s="35"/>
      <c r="F268" s="33"/>
      <c r="G268" s="34"/>
      <c r="H268" s="2"/>
      <c r="I268" s="2"/>
      <c r="J268" s="2"/>
      <c r="K268" s="2"/>
      <c r="L268" s="2"/>
      <c r="M268" s="2"/>
      <c r="N268" s="2"/>
      <c r="O268" s="2"/>
      <c r="P268" s="2"/>
      <c r="Q268" s="33"/>
      <c r="R268" s="34"/>
      <c r="S268" s="33"/>
    </row>
    <row r="269" customFormat="false" ht="15" hidden="false" customHeight="false" outlineLevel="0" collapsed="false">
      <c r="A269" s="35"/>
      <c r="B269" s="36" t="str">
        <f aca="false">IF(A269="","",YEAR(A269)&amp;"-"&amp;TEXT(MONTH(A269),"00"))</f>
        <v/>
      </c>
      <c r="C269" s="34"/>
      <c r="D269" s="2"/>
      <c r="E269" s="35"/>
      <c r="F269" s="33"/>
      <c r="G269" s="34"/>
      <c r="H269" s="2"/>
      <c r="I269" s="2"/>
      <c r="J269" s="2"/>
      <c r="K269" s="2"/>
      <c r="L269" s="2"/>
      <c r="M269" s="2"/>
      <c r="N269" s="2"/>
      <c r="O269" s="2"/>
      <c r="P269" s="2"/>
      <c r="Q269" s="33"/>
      <c r="R269" s="34"/>
      <c r="S269" s="33"/>
    </row>
    <row r="270" customFormat="false" ht="15" hidden="false" customHeight="false" outlineLevel="0" collapsed="false">
      <c r="A270" s="35"/>
      <c r="B270" s="36" t="str">
        <f aca="false">IF(A270="","",YEAR(A270)&amp;"-"&amp;TEXT(MONTH(A270),"00"))</f>
        <v/>
      </c>
      <c r="C270" s="34"/>
      <c r="D270" s="2"/>
      <c r="E270" s="35"/>
      <c r="F270" s="33"/>
      <c r="G270" s="34"/>
      <c r="H270" s="2"/>
      <c r="I270" s="2"/>
      <c r="J270" s="2"/>
      <c r="K270" s="2"/>
      <c r="L270" s="2"/>
      <c r="M270" s="2"/>
      <c r="N270" s="2"/>
      <c r="O270" s="2"/>
      <c r="P270" s="2"/>
      <c r="Q270" s="33"/>
      <c r="R270" s="34"/>
      <c r="S270" s="33"/>
    </row>
    <row r="271" customFormat="false" ht="15" hidden="false" customHeight="false" outlineLevel="0" collapsed="false">
      <c r="A271" s="35"/>
      <c r="B271" s="36" t="str">
        <f aca="false">IF(A271="","",YEAR(A271)&amp;"-"&amp;TEXT(MONTH(A271),"00"))</f>
        <v/>
      </c>
      <c r="C271" s="34"/>
      <c r="D271" s="2"/>
      <c r="E271" s="35"/>
      <c r="F271" s="33"/>
      <c r="G271" s="34"/>
      <c r="H271" s="2"/>
      <c r="I271" s="2"/>
      <c r="J271" s="2"/>
      <c r="K271" s="2"/>
      <c r="L271" s="2"/>
      <c r="M271" s="2"/>
      <c r="N271" s="2"/>
      <c r="O271" s="2"/>
      <c r="P271" s="2"/>
      <c r="Q271" s="33"/>
      <c r="R271" s="34"/>
      <c r="S271" s="33"/>
    </row>
    <row r="272" customFormat="false" ht="15" hidden="false" customHeight="false" outlineLevel="0" collapsed="false">
      <c r="A272" s="35"/>
      <c r="B272" s="36" t="str">
        <f aca="false">IF(A272="","",YEAR(A272)&amp;"-"&amp;TEXT(MONTH(A272),"00"))</f>
        <v/>
      </c>
      <c r="C272" s="34"/>
      <c r="D272" s="2"/>
      <c r="E272" s="35"/>
      <c r="F272" s="33"/>
      <c r="G272" s="34"/>
      <c r="H272" s="2"/>
      <c r="I272" s="2"/>
      <c r="J272" s="2"/>
      <c r="K272" s="2"/>
      <c r="L272" s="2"/>
      <c r="M272" s="2"/>
      <c r="N272" s="2"/>
      <c r="O272" s="2"/>
      <c r="P272" s="2"/>
      <c r="Q272" s="33"/>
      <c r="R272" s="34"/>
      <c r="S272" s="33"/>
    </row>
    <row r="273" customFormat="false" ht="15" hidden="false" customHeight="false" outlineLevel="0" collapsed="false">
      <c r="A273" s="35"/>
      <c r="B273" s="36" t="str">
        <f aca="false">IF(A273="","",YEAR(A273)&amp;"-"&amp;TEXT(MONTH(A273),"00"))</f>
        <v/>
      </c>
      <c r="C273" s="34"/>
      <c r="D273" s="2"/>
      <c r="E273" s="35"/>
      <c r="F273" s="33"/>
      <c r="G273" s="34"/>
      <c r="H273" s="2"/>
      <c r="I273" s="2"/>
      <c r="J273" s="2"/>
      <c r="K273" s="2"/>
      <c r="L273" s="2"/>
      <c r="M273" s="2"/>
      <c r="N273" s="2"/>
      <c r="O273" s="2"/>
      <c r="P273" s="2"/>
      <c r="Q273" s="33"/>
      <c r="R273" s="34"/>
      <c r="S273" s="33"/>
    </row>
    <row r="274" customFormat="false" ht="15" hidden="false" customHeight="false" outlineLevel="0" collapsed="false">
      <c r="A274" s="35"/>
      <c r="B274" s="36" t="str">
        <f aca="false">IF(A274="","",YEAR(A274)&amp;"-"&amp;TEXT(MONTH(A274),"00"))</f>
        <v/>
      </c>
      <c r="C274" s="34"/>
      <c r="D274" s="2"/>
      <c r="E274" s="35"/>
      <c r="F274" s="33"/>
      <c r="G274" s="34"/>
      <c r="H274" s="2"/>
      <c r="I274" s="2"/>
      <c r="J274" s="2"/>
      <c r="K274" s="2"/>
      <c r="L274" s="2"/>
      <c r="M274" s="2"/>
      <c r="N274" s="2"/>
      <c r="O274" s="2"/>
      <c r="P274" s="2"/>
      <c r="Q274" s="33"/>
      <c r="R274" s="34"/>
      <c r="S274" s="33"/>
    </row>
    <row r="275" customFormat="false" ht="15" hidden="false" customHeight="false" outlineLevel="0" collapsed="false">
      <c r="A275" s="35"/>
      <c r="B275" s="36" t="str">
        <f aca="false">IF(A275="","",YEAR(A275)&amp;"-"&amp;TEXT(MONTH(A275),"00"))</f>
        <v/>
      </c>
      <c r="C275" s="34"/>
      <c r="D275" s="2"/>
      <c r="E275" s="35"/>
      <c r="F275" s="33"/>
      <c r="G275" s="34"/>
      <c r="H275" s="2"/>
      <c r="I275" s="2"/>
      <c r="J275" s="2"/>
      <c r="K275" s="2"/>
      <c r="L275" s="2"/>
      <c r="M275" s="2"/>
      <c r="N275" s="2"/>
      <c r="O275" s="2"/>
      <c r="P275" s="2"/>
      <c r="Q275" s="33"/>
      <c r="R275" s="34"/>
      <c r="S275" s="33"/>
    </row>
    <row r="276" customFormat="false" ht="15" hidden="false" customHeight="false" outlineLevel="0" collapsed="false">
      <c r="A276" s="35"/>
      <c r="B276" s="36" t="str">
        <f aca="false">IF(A276="","",YEAR(A276)&amp;"-"&amp;TEXT(MONTH(A276),"00"))</f>
        <v/>
      </c>
      <c r="C276" s="34"/>
      <c r="D276" s="2"/>
      <c r="E276" s="35"/>
      <c r="F276" s="33"/>
      <c r="G276" s="34"/>
      <c r="H276" s="2"/>
      <c r="I276" s="2"/>
      <c r="J276" s="2"/>
      <c r="K276" s="2"/>
      <c r="L276" s="2"/>
      <c r="M276" s="2"/>
      <c r="N276" s="2"/>
      <c r="O276" s="2"/>
      <c r="P276" s="2"/>
      <c r="Q276" s="33"/>
      <c r="R276" s="34"/>
      <c r="S276" s="33"/>
    </row>
    <row r="277" customFormat="false" ht="15" hidden="false" customHeight="false" outlineLevel="0" collapsed="false">
      <c r="A277" s="35"/>
      <c r="B277" s="36" t="str">
        <f aca="false">IF(A277="","",YEAR(A277)&amp;"-"&amp;TEXT(MONTH(A277),"00"))</f>
        <v/>
      </c>
      <c r="C277" s="34"/>
      <c r="D277" s="2"/>
      <c r="E277" s="35"/>
      <c r="F277" s="33"/>
      <c r="G277" s="34"/>
      <c r="H277" s="2"/>
      <c r="I277" s="2"/>
      <c r="J277" s="2"/>
      <c r="K277" s="2"/>
      <c r="L277" s="2"/>
      <c r="M277" s="2"/>
      <c r="N277" s="2"/>
      <c r="O277" s="2"/>
      <c r="P277" s="2"/>
      <c r="Q277" s="33"/>
      <c r="R277" s="34"/>
      <c r="S277" s="33"/>
    </row>
    <row r="278" customFormat="false" ht="15" hidden="false" customHeight="false" outlineLevel="0" collapsed="false">
      <c r="A278" s="35"/>
      <c r="B278" s="36" t="str">
        <f aca="false">IF(A278="","",YEAR(A278)&amp;"-"&amp;TEXT(MONTH(A278),"00"))</f>
        <v/>
      </c>
      <c r="C278" s="34"/>
      <c r="D278" s="2"/>
      <c r="E278" s="35"/>
      <c r="F278" s="33"/>
      <c r="G278" s="34"/>
      <c r="H278" s="2"/>
      <c r="I278" s="2"/>
      <c r="J278" s="2"/>
      <c r="K278" s="2"/>
      <c r="L278" s="2"/>
      <c r="M278" s="2"/>
      <c r="N278" s="2"/>
      <c r="O278" s="2"/>
      <c r="P278" s="2"/>
      <c r="Q278" s="33"/>
      <c r="R278" s="34"/>
      <c r="S278" s="33"/>
    </row>
    <row r="279" customFormat="false" ht="15" hidden="false" customHeight="false" outlineLevel="0" collapsed="false">
      <c r="A279" s="35"/>
      <c r="B279" s="36" t="str">
        <f aca="false">IF(A279="","",YEAR(A279)&amp;"-"&amp;TEXT(MONTH(A279),"00"))</f>
        <v/>
      </c>
      <c r="C279" s="34"/>
      <c r="D279" s="2"/>
      <c r="E279" s="35"/>
      <c r="F279" s="33"/>
      <c r="G279" s="34"/>
      <c r="H279" s="2"/>
      <c r="I279" s="2"/>
      <c r="J279" s="2"/>
      <c r="K279" s="2"/>
      <c r="L279" s="2"/>
      <c r="M279" s="2"/>
      <c r="N279" s="2"/>
      <c r="O279" s="2"/>
      <c r="P279" s="2"/>
      <c r="Q279" s="33"/>
      <c r="R279" s="34"/>
      <c r="S279" s="33"/>
    </row>
    <row r="280" customFormat="false" ht="15" hidden="false" customHeight="false" outlineLevel="0" collapsed="false">
      <c r="A280" s="35"/>
      <c r="B280" s="36" t="str">
        <f aca="false">IF(A280="","",YEAR(A280)&amp;"-"&amp;TEXT(MONTH(A280),"00"))</f>
        <v/>
      </c>
      <c r="C280" s="34"/>
      <c r="D280" s="2"/>
      <c r="E280" s="35"/>
      <c r="F280" s="33"/>
      <c r="G280" s="34"/>
      <c r="H280" s="2"/>
      <c r="I280" s="2"/>
      <c r="J280" s="2"/>
      <c r="K280" s="2"/>
      <c r="L280" s="2"/>
      <c r="M280" s="2"/>
      <c r="N280" s="2"/>
      <c r="O280" s="2"/>
      <c r="P280" s="2"/>
      <c r="Q280" s="33"/>
      <c r="R280" s="34"/>
      <c r="S280" s="33"/>
    </row>
    <row r="281" customFormat="false" ht="15" hidden="false" customHeight="false" outlineLevel="0" collapsed="false">
      <c r="A281" s="35"/>
      <c r="B281" s="36" t="str">
        <f aca="false">IF(A281="","",YEAR(A281)&amp;"-"&amp;TEXT(MONTH(A281),"00"))</f>
        <v/>
      </c>
      <c r="C281" s="34"/>
      <c r="D281" s="2"/>
      <c r="E281" s="35"/>
      <c r="F281" s="33"/>
      <c r="G281" s="34"/>
      <c r="H281" s="2"/>
      <c r="I281" s="2"/>
      <c r="J281" s="2"/>
      <c r="K281" s="2"/>
      <c r="L281" s="2"/>
      <c r="M281" s="2"/>
      <c r="N281" s="2"/>
      <c r="O281" s="2"/>
      <c r="P281" s="2"/>
      <c r="Q281" s="33"/>
      <c r="R281" s="34"/>
      <c r="S281" s="33"/>
    </row>
    <row r="282" customFormat="false" ht="15" hidden="false" customHeight="false" outlineLevel="0" collapsed="false">
      <c r="A282" s="35"/>
      <c r="B282" s="36" t="str">
        <f aca="false">IF(A282="","",YEAR(A282)&amp;"-"&amp;TEXT(MONTH(A282),"00"))</f>
        <v/>
      </c>
      <c r="C282" s="34"/>
      <c r="D282" s="2"/>
      <c r="E282" s="35"/>
      <c r="F282" s="33"/>
      <c r="G282" s="34"/>
      <c r="H282" s="2"/>
      <c r="I282" s="2"/>
      <c r="J282" s="2"/>
      <c r="K282" s="2"/>
      <c r="L282" s="2"/>
      <c r="M282" s="2"/>
      <c r="N282" s="2"/>
      <c r="O282" s="2"/>
      <c r="P282" s="2"/>
      <c r="Q282" s="33"/>
      <c r="R282" s="34"/>
      <c r="S282" s="33"/>
    </row>
    <row r="283" customFormat="false" ht="15" hidden="false" customHeight="false" outlineLevel="0" collapsed="false">
      <c r="A283" s="35"/>
      <c r="B283" s="36" t="str">
        <f aca="false">IF(A283="","",YEAR(A283)&amp;"-"&amp;TEXT(MONTH(A283),"00"))</f>
        <v/>
      </c>
      <c r="C283" s="34"/>
      <c r="D283" s="2"/>
      <c r="E283" s="35"/>
      <c r="F283" s="33"/>
      <c r="G283" s="34"/>
      <c r="H283" s="2"/>
      <c r="I283" s="2"/>
      <c r="J283" s="2"/>
      <c r="K283" s="2"/>
      <c r="L283" s="2"/>
      <c r="M283" s="2"/>
      <c r="N283" s="2"/>
      <c r="O283" s="2"/>
      <c r="P283" s="2"/>
      <c r="Q283" s="33"/>
      <c r="R283" s="34"/>
      <c r="S283" s="33"/>
    </row>
    <row r="284" customFormat="false" ht="15" hidden="false" customHeight="false" outlineLevel="0" collapsed="false">
      <c r="A284" s="35"/>
      <c r="B284" s="36" t="str">
        <f aca="false">IF(A284="","",YEAR(A284)&amp;"-"&amp;TEXT(MONTH(A284),"00"))</f>
        <v/>
      </c>
      <c r="C284" s="34"/>
      <c r="D284" s="2"/>
      <c r="E284" s="35"/>
      <c r="F284" s="33"/>
      <c r="G284" s="34"/>
      <c r="H284" s="2"/>
      <c r="I284" s="2"/>
      <c r="J284" s="2"/>
      <c r="K284" s="2"/>
      <c r="L284" s="2"/>
      <c r="M284" s="2"/>
      <c r="N284" s="2"/>
      <c r="O284" s="2"/>
      <c r="P284" s="2"/>
      <c r="Q284" s="33"/>
      <c r="R284" s="34"/>
      <c r="S284" s="33"/>
    </row>
    <row r="285" customFormat="false" ht="15" hidden="false" customHeight="false" outlineLevel="0" collapsed="false">
      <c r="A285" s="35"/>
      <c r="B285" s="36" t="str">
        <f aca="false">IF(A285="","",YEAR(A285)&amp;"-"&amp;TEXT(MONTH(A285),"00"))</f>
        <v/>
      </c>
      <c r="C285" s="34"/>
      <c r="D285" s="2"/>
      <c r="E285" s="35"/>
      <c r="F285" s="33"/>
      <c r="G285" s="34"/>
      <c r="H285" s="2"/>
      <c r="I285" s="2"/>
      <c r="J285" s="2"/>
      <c r="K285" s="2"/>
      <c r="L285" s="2"/>
      <c r="M285" s="2"/>
      <c r="N285" s="2"/>
      <c r="O285" s="2"/>
      <c r="P285" s="2"/>
      <c r="Q285" s="33"/>
      <c r="R285" s="34"/>
      <c r="S285" s="33"/>
    </row>
    <row r="286" customFormat="false" ht="15" hidden="false" customHeight="false" outlineLevel="0" collapsed="false">
      <c r="A286" s="35"/>
      <c r="B286" s="36" t="str">
        <f aca="false">IF(A286="","",YEAR(A286)&amp;"-"&amp;TEXT(MONTH(A286),"00"))</f>
        <v/>
      </c>
      <c r="C286" s="34"/>
      <c r="D286" s="2"/>
      <c r="E286" s="35"/>
      <c r="F286" s="33"/>
      <c r="G286" s="34"/>
      <c r="H286" s="2"/>
      <c r="I286" s="2"/>
      <c r="J286" s="2"/>
      <c r="K286" s="2"/>
      <c r="L286" s="2"/>
      <c r="M286" s="2"/>
      <c r="N286" s="2"/>
      <c r="O286" s="2"/>
      <c r="P286" s="2"/>
      <c r="Q286" s="33"/>
      <c r="R286" s="34"/>
      <c r="S286" s="33"/>
    </row>
    <row r="287" customFormat="false" ht="15" hidden="false" customHeight="false" outlineLevel="0" collapsed="false">
      <c r="A287" s="35"/>
      <c r="B287" s="36" t="str">
        <f aca="false">IF(A287="","",YEAR(A287)&amp;"-"&amp;TEXT(MONTH(A287),"00"))</f>
        <v/>
      </c>
      <c r="C287" s="34"/>
      <c r="D287" s="2"/>
      <c r="E287" s="35"/>
      <c r="F287" s="33"/>
      <c r="G287" s="34"/>
      <c r="H287" s="2"/>
      <c r="I287" s="2"/>
      <c r="J287" s="2"/>
      <c r="K287" s="2"/>
      <c r="L287" s="2"/>
      <c r="M287" s="2"/>
      <c r="N287" s="2"/>
      <c r="O287" s="2"/>
      <c r="P287" s="2"/>
      <c r="Q287" s="33"/>
      <c r="R287" s="34"/>
      <c r="S287" s="33"/>
    </row>
    <row r="288" customFormat="false" ht="15" hidden="false" customHeight="false" outlineLevel="0" collapsed="false">
      <c r="A288" s="35"/>
      <c r="B288" s="36" t="str">
        <f aca="false">IF(A288="","",YEAR(A288)&amp;"-"&amp;TEXT(MONTH(A288),"00"))</f>
        <v/>
      </c>
      <c r="C288" s="34"/>
      <c r="D288" s="2"/>
      <c r="E288" s="35"/>
      <c r="F288" s="33"/>
      <c r="G288" s="34"/>
      <c r="H288" s="2"/>
      <c r="I288" s="2"/>
      <c r="J288" s="2"/>
      <c r="K288" s="2"/>
      <c r="L288" s="2"/>
      <c r="M288" s="2"/>
      <c r="N288" s="2"/>
      <c r="O288" s="2"/>
      <c r="P288" s="2"/>
      <c r="Q288" s="33"/>
      <c r="R288" s="34"/>
      <c r="S288" s="33"/>
    </row>
    <row r="289" customFormat="false" ht="15" hidden="false" customHeight="false" outlineLevel="0" collapsed="false">
      <c r="A289" s="35"/>
      <c r="B289" s="36" t="str">
        <f aca="false">IF(A289="","",YEAR(A289)&amp;"-"&amp;TEXT(MONTH(A289),"00"))</f>
        <v/>
      </c>
      <c r="C289" s="34"/>
      <c r="D289" s="2"/>
      <c r="E289" s="35"/>
      <c r="F289" s="33"/>
      <c r="G289" s="34"/>
      <c r="H289" s="2"/>
      <c r="I289" s="2"/>
      <c r="J289" s="2"/>
      <c r="K289" s="2"/>
      <c r="L289" s="2"/>
      <c r="M289" s="2"/>
      <c r="N289" s="2"/>
      <c r="O289" s="2"/>
      <c r="P289" s="2"/>
      <c r="Q289" s="33"/>
      <c r="R289" s="34"/>
      <c r="S289" s="33"/>
    </row>
    <row r="290" customFormat="false" ht="15" hidden="false" customHeight="false" outlineLevel="0" collapsed="false">
      <c r="A290" s="35"/>
      <c r="B290" s="36" t="str">
        <f aca="false">IF(A290="","",YEAR(A290)&amp;"-"&amp;TEXT(MONTH(A290),"00"))</f>
        <v/>
      </c>
      <c r="C290" s="34"/>
      <c r="D290" s="2"/>
      <c r="E290" s="35"/>
      <c r="F290" s="33"/>
      <c r="G290" s="34"/>
      <c r="H290" s="2"/>
      <c r="I290" s="2"/>
      <c r="J290" s="2"/>
      <c r="K290" s="2"/>
      <c r="L290" s="2"/>
      <c r="M290" s="2"/>
      <c r="N290" s="2"/>
      <c r="O290" s="2"/>
      <c r="P290" s="2"/>
      <c r="Q290" s="33"/>
      <c r="R290" s="34"/>
      <c r="S290" s="33"/>
    </row>
    <row r="291" customFormat="false" ht="15" hidden="false" customHeight="false" outlineLevel="0" collapsed="false">
      <c r="A291" s="35"/>
      <c r="B291" s="36" t="str">
        <f aca="false">IF(A291="","",YEAR(A291)&amp;"-"&amp;TEXT(MONTH(A291),"00"))</f>
        <v/>
      </c>
      <c r="C291" s="34"/>
      <c r="D291" s="2"/>
      <c r="E291" s="35"/>
      <c r="F291" s="33"/>
      <c r="G291" s="34"/>
      <c r="H291" s="2"/>
      <c r="I291" s="2"/>
      <c r="J291" s="2"/>
      <c r="K291" s="2"/>
      <c r="L291" s="2"/>
      <c r="M291" s="2"/>
      <c r="N291" s="2"/>
      <c r="O291" s="2"/>
      <c r="P291" s="2"/>
      <c r="Q291" s="33"/>
      <c r="R291" s="34"/>
      <c r="S291" s="33"/>
    </row>
    <row r="292" customFormat="false" ht="15" hidden="false" customHeight="false" outlineLevel="0" collapsed="false">
      <c r="A292" s="35"/>
      <c r="B292" s="36" t="str">
        <f aca="false">IF(A292="","",YEAR(A292)&amp;"-"&amp;TEXT(MONTH(A292),"00"))</f>
        <v/>
      </c>
      <c r="C292" s="34"/>
      <c r="D292" s="2"/>
      <c r="E292" s="35"/>
      <c r="F292" s="33"/>
      <c r="G292" s="34"/>
      <c r="H292" s="2"/>
      <c r="I292" s="2"/>
      <c r="J292" s="2"/>
      <c r="K292" s="2"/>
      <c r="L292" s="2"/>
      <c r="M292" s="2"/>
      <c r="N292" s="2"/>
      <c r="O292" s="2"/>
      <c r="P292" s="2"/>
      <c r="Q292" s="33"/>
      <c r="R292" s="34"/>
      <c r="S292" s="33"/>
    </row>
    <row r="293" customFormat="false" ht="15" hidden="false" customHeight="false" outlineLevel="0" collapsed="false">
      <c r="A293" s="35"/>
      <c r="B293" s="36" t="str">
        <f aca="false">IF(A293="","",YEAR(A293)&amp;"-"&amp;TEXT(MONTH(A293),"00"))</f>
        <v/>
      </c>
      <c r="C293" s="34"/>
      <c r="D293" s="2"/>
      <c r="E293" s="35"/>
      <c r="F293" s="33"/>
      <c r="G293" s="34"/>
      <c r="H293" s="2"/>
      <c r="I293" s="2"/>
      <c r="J293" s="2"/>
      <c r="K293" s="2"/>
      <c r="L293" s="2"/>
      <c r="M293" s="2"/>
      <c r="N293" s="2"/>
      <c r="O293" s="2"/>
      <c r="P293" s="2"/>
      <c r="Q293" s="33"/>
      <c r="R293" s="34"/>
      <c r="S293" s="33"/>
    </row>
    <row r="294" customFormat="false" ht="15" hidden="false" customHeight="false" outlineLevel="0" collapsed="false">
      <c r="A294" s="35"/>
      <c r="B294" s="36" t="str">
        <f aca="false">IF(A294="","",YEAR(A294)&amp;"-"&amp;TEXT(MONTH(A294),"00"))</f>
        <v/>
      </c>
      <c r="C294" s="34"/>
      <c r="D294" s="2"/>
      <c r="E294" s="35"/>
      <c r="F294" s="33"/>
      <c r="G294" s="34"/>
      <c r="H294" s="2"/>
      <c r="I294" s="2"/>
      <c r="J294" s="2"/>
      <c r="K294" s="2"/>
      <c r="L294" s="2"/>
      <c r="M294" s="2"/>
      <c r="N294" s="2"/>
      <c r="O294" s="2"/>
      <c r="P294" s="2"/>
      <c r="Q294" s="33"/>
      <c r="R294" s="34"/>
      <c r="S294" s="33"/>
    </row>
    <row r="295" customFormat="false" ht="15" hidden="false" customHeight="false" outlineLevel="0" collapsed="false">
      <c r="A295" s="35"/>
      <c r="B295" s="36" t="str">
        <f aca="false">IF(A295="","",YEAR(A295)&amp;"-"&amp;TEXT(MONTH(A295),"00"))</f>
        <v/>
      </c>
      <c r="C295" s="34"/>
      <c r="D295" s="2"/>
      <c r="E295" s="35"/>
      <c r="F295" s="33"/>
      <c r="G295" s="34"/>
      <c r="H295" s="2"/>
      <c r="I295" s="2"/>
      <c r="J295" s="2"/>
      <c r="K295" s="2"/>
      <c r="L295" s="2"/>
      <c r="M295" s="2"/>
      <c r="N295" s="2"/>
      <c r="O295" s="2"/>
      <c r="P295" s="2"/>
      <c r="Q295" s="33"/>
      <c r="R295" s="34"/>
      <c r="S295" s="33"/>
    </row>
    <row r="296" customFormat="false" ht="15" hidden="false" customHeight="false" outlineLevel="0" collapsed="false">
      <c r="A296" s="35"/>
      <c r="B296" s="36" t="str">
        <f aca="false">IF(A296="","",YEAR(A296)&amp;"-"&amp;TEXT(MONTH(A296),"00"))</f>
        <v/>
      </c>
      <c r="C296" s="34"/>
      <c r="D296" s="2"/>
      <c r="E296" s="35"/>
      <c r="F296" s="33"/>
      <c r="G296" s="34"/>
      <c r="H296" s="2"/>
      <c r="I296" s="2"/>
      <c r="J296" s="2"/>
      <c r="K296" s="2"/>
      <c r="L296" s="2"/>
      <c r="M296" s="2"/>
      <c r="N296" s="2"/>
      <c r="O296" s="2"/>
      <c r="P296" s="2"/>
      <c r="Q296" s="33"/>
      <c r="R296" s="34"/>
      <c r="S296" s="33"/>
    </row>
    <row r="297" customFormat="false" ht="15" hidden="false" customHeight="false" outlineLevel="0" collapsed="false">
      <c r="A297" s="35"/>
      <c r="B297" s="36" t="str">
        <f aca="false">IF(A297="","",YEAR(A297)&amp;"-"&amp;TEXT(MONTH(A297),"00"))</f>
        <v/>
      </c>
      <c r="C297" s="34"/>
      <c r="D297" s="2"/>
      <c r="E297" s="35"/>
      <c r="F297" s="33"/>
      <c r="G297" s="34"/>
      <c r="H297" s="2"/>
      <c r="I297" s="2"/>
      <c r="J297" s="2"/>
      <c r="K297" s="2"/>
      <c r="L297" s="2"/>
      <c r="M297" s="2"/>
      <c r="N297" s="2"/>
      <c r="O297" s="2"/>
      <c r="P297" s="2"/>
      <c r="Q297" s="33"/>
      <c r="R297" s="34"/>
      <c r="S297" s="33"/>
    </row>
    <row r="298" customFormat="false" ht="15" hidden="false" customHeight="false" outlineLevel="0" collapsed="false">
      <c r="A298" s="35"/>
      <c r="B298" s="36" t="str">
        <f aca="false">IF(A298="","",YEAR(A298)&amp;"-"&amp;TEXT(MONTH(A298),"00"))</f>
        <v/>
      </c>
      <c r="C298" s="34"/>
      <c r="D298" s="2"/>
      <c r="E298" s="35"/>
      <c r="F298" s="33"/>
      <c r="G298" s="34"/>
      <c r="H298" s="2"/>
      <c r="I298" s="2"/>
      <c r="J298" s="2"/>
      <c r="K298" s="2"/>
      <c r="L298" s="2"/>
      <c r="M298" s="2"/>
      <c r="N298" s="2"/>
      <c r="O298" s="2"/>
      <c r="P298" s="2"/>
      <c r="Q298" s="33"/>
      <c r="R298" s="34"/>
      <c r="S298" s="33"/>
    </row>
    <row r="299" customFormat="false" ht="15" hidden="false" customHeight="false" outlineLevel="0" collapsed="false">
      <c r="A299" s="35"/>
      <c r="B299" s="36" t="str">
        <f aca="false">IF(A299="","",YEAR(A299)&amp;"-"&amp;TEXT(MONTH(A299),"00"))</f>
        <v/>
      </c>
      <c r="C299" s="34"/>
      <c r="D299" s="2"/>
      <c r="E299" s="35"/>
      <c r="F299" s="33"/>
      <c r="G299" s="34"/>
      <c r="H299" s="2"/>
      <c r="I299" s="2"/>
      <c r="J299" s="2"/>
      <c r="K299" s="2"/>
      <c r="L299" s="2"/>
      <c r="M299" s="2"/>
      <c r="N299" s="2"/>
      <c r="O299" s="2"/>
      <c r="P299" s="2"/>
      <c r="Q299" s="33"/>
      <c r="R299" s="34"/>
      <c r="S299" s="33"/>
    </row>
    <row r="300" customFormat="false" ht="15" hidden="false" customHeight="false" outlineLevel="0" collapsed="false">
      <c r="A300" s="35"/>
      <c r="B300" s="36" t="str">
        <f aca="false">IF(A300="","",YEAR(A300)&amp;"-"&amp;TEXT(MONTH(A300),"00"))</f>
        <v/>
      </c>
      <c r="C300" s="34"/>
      <c r="D300" s="2"/>
      <c r="E300" s="35"/>
      <c r="F300" s="33"/>
      <c r="G300" s="34"/>
      <c r="H300" s="2"/>
      <c r="I300" s="2"/>
      <c r="J300" s="2"/>
      <c r="K300" s="2"/>
      <c r="L300" s="2"/>
      <c r="M300" s="2"/>
      <c r="N300" s="2"/>
      <c r="O300" s="2"/>
      <c r="P300" s="2"/>
      <c r="Q300" s="33"/>
      <c r="R300" s="34"/>
      <c r="S300" s="33"/>
    </row>
    <row r="301" customFormat="false" ht="15" hidden="false" customHeight="false" outlineLevel="0" collapsed="false">
      <c r="A301" s="35"/>
      <c r="B301" s="36" t="str">
        <f aca="false">IF(A301="","",YEAR(A301)&amp;"-"&amp;TEXT(MONTH(A301),"00"))</f>
        <v/>
      </c>
      <c r="C301" s="34"/>
      <c r="D301" s="2"/>
      <c r="E301" s="35"/>
      <c r="F301" s="33"/>
      <c r="G301" s="34"/>
      <c r="H301" s="2"/>
      <c r="I301" s="2"/>
      <c r="J301" s="2"/>
      <c r="K301" s="2"/>
      <c r="L301" s="2"/>
      <c r="M301" s="2"/>
      <c r="N301" s="2"/>
      <c r="O301" s="2"/>
      <c r="P301" s="2"/>
      <c r="Q301" s="33"/>
      <c r="R301" s="34"/>
      <c r="S301" s="33"/>
    </row>
    <row r="302" customFormat="false" ht="15" hidden="false" customHeight="false" outlineLevel="0" collapsed="false">
      <c r="A302" s="35"/>
      <c r="B302" s="36" t="str">
        <f aca="false">IF(A302="","",YEAR(A302)&amp;"-"&amp;TEXT(MONTH(A302),"00"))</f>
        <v/>
      </c>
      <c r="C302" s="34"/>
      <c r="D302" s="2"/>
      <c r="E302" s="35"/>
      <c r="F302" s="33"/>
      <c r="G302" s="34"/>
      <c r="H302" s="2"/>
      <c r="I302" s="2"/>
      <c r="J302" s="2"/>
      <c r="K302" s="2"/>
      <c r="L302" s="2"/>
      <c r="M302" s="2"/>
      <c r="N302" s="2"/>
      <c r="O302" s="2"/>
      <c r="P302" s="2"/>
      <c r="Q302" s="33"/>
      <c r="R302" s="34"/>
      <c r="S302" s="33"/>
    </row>
    <row r="303" customFormat="false" ht="15" hidden="false" customHeight="false" outlineLevel="0" collapsed="false">
      <c r="A303" s="35"/>
      <c r="B303" s="36" t="str">
        <f aca="false">IF(A303="","",YEAR(A303)&amp;"-"&amp;TEXT(MONTH(A303),"00"))</f>
        <v/>
      </c>
      <c r="C303" s="34"/>
      <c r="D303" s="2"/>
      <c r="E303" s="35"/>
      <c r="F303" s="33"/>
      <c r="G303" s="34"/>
      <c r="H303" s="2"/>
      <c r="I303" s="2"/>
      <c r="J303" s="2"/>
      <c r="K303" s="2"/>
      <c r="L303" s="2"/>
      <c r="M303" s="2"/>
      <c r="N303" s="2"/>
      <c r="O303" s="2"/>
      <c r="P303" s="2"/>
      <c r="Q303" s="33"/>
      <c r="R303" s="34"/>
      <c r="S303" s="33"/>
    </row>
    <row r="304" customFormat="false" ht="15" hidden="false" customHeight="false" outlineLevel="0" collapsed="false">
      <c r="A304" s="35"/>
      <c r="B304" s="36" t="str">
        <f aca="false">IF(A304="","",YEAR(A304)&amp;"-"&amp;TEXT(MONTH(A304),"00"))</f>
        <v/>
      </c>
      <c r="C304" s="34"/>
      <c r="D304" s="2"/>
      <c r="E304" s="35"/>
      <c r="F304" s="33"/>
      <c r="G304" s="34"/>
      <c r="H304" s="2"/>
      <c r="I304" s="2"/>
      <c r="J304" s="2"/>
      <c r="K304" s="2"/>
      <c r="L304" s="2"/>
      <c r="M304" s="2"/>
      <c r="N304" s="2"/>
      <c r="O304" s="2"/>
      <c r="P304" s="2"/>
      <c r="Q304" s="33"/>
      <c r="R304" s="34"/>
      <c r="S304" s="33"/>
    </row>
    <row r="305" customFormat="false" ht="15" hidden="false" customHeight="false" outlineLevel="0" collapsed="false">
      <c r="A305" s="35"/>
      <c r="B305" s="36" t="str">
        <f aca="false">IF(A305="","",YEAR(A305)&amp;"-"&amp;TEXT(MONTH(A305),"00"))</f>
        <v/>
      </c>
      <c r="C305" s="34"/>
      <c r="D305" s="2"/>
      <c r="E305" s="35"/>
      <c r="F305" s="33"/>
      <c r="G305" s="34"/>
      <c r="H305" s="2"/>
      <c r="I305" s="2"/>
      <c r="J305" s="2"/>
      <c r="K305" s="2"/>
      <c r="L305" s="2"/>
      <c r="M305" s="2"/>
      <c r="N305" s="2"/>
      <c r="O305" s="2"/>
      <c r="P305" s="2"/>
      <c r="Q305" s="33"/>
      <c r="R305" s="34"/>
      <c r="S305" s="33"/>
    </row>
    <row r="306" customFormat="false" ht="15" hidden="false" customHeight="false" outlineLevel="0" collapsed="false">
      <c r="A306" s="35"/>
      <c r="B306" s="36" t="str">
        <f aca="false">IF(A306="","",YEAR(A306)&amp;"-"&amp;TEXT(MONTH(A306),"00"))</f>
        <v/>
      </c>
      <c r="C306" s="34"/>
      <c r="D306" s="2"/>
      <c r="E306" s="35"/>
      <c r="F306" s="33"/>
      <c r="G306" s="34"/>
      <c r="H306" s="2"/>
      <c r="I306" s="2"/>
      <c r="J306" s="2"/>
      <c r="K306" s="2"/>
      <c r="L306" s="2"/>
      <c r="M306" s="2"/>
      <c r="N306" s="2"/>
      <c r="O306" s="2"/>
      <c r="P306" s="2"/>
      <c r="Q306" s="33"/>
      <c r="R306" s="34"/>
      <c r="S306" s="33"/>
    </row>
    <row r="307" customFormat="false" ht="15" hidden="false" customHeight="false" outlineLevel="0" collapsed="false">
      <c r="A307" s="35"/>
      <c r="B307" s="36" t="str">
        <f aca="false">IF(A307="","",YEAR(A307)&amp;"-"&amp;TEXT(MONTH(A307),"00"))</f>
        <v/>
      </c>
      <c r="C307" s="34"/>
      <c r="D307" s="2"/>
      <c r="E307" s="35"/>
      <c r="F307" s="33"/>
      <c r="G307" s="34"/>
      <c r="H307" s="2"/>
      <c r="I307" s="2"/>
      <c r="J307" s="2"/>
      <c r="K307" s="2"/>
      <c r="L307" s="2"/>
      <c r="M307" s="2"/>
      <c r="N307" s="2"/>
      <c r="O307" s="2"/>
      <c r="P307" s="2"/>
      <c r="Q307" s="33"/>
      <c r="R307" s="34"/>
      <c r="S307" s="33"/>
    </row>
    <row r="308" customFormat="false" ht="15" hidden="false" customHeight="false" outlineLevel="0" collapsed="false">
      <c r="A308" s="35"/>
      <c r="B308" s="36" t="str">
        <f aca="false">IF(A308="","",YEAR(A308)&amp;"-"&amp;TEXT(MONTH(A308),"00"))</f>
        <v/>
      </c>
      <c r="C308" s="34"/>
      <c r="D308" s="2"/>
      <c r="E308" s="35"/>
      <c r="F308" s="33"/>
      <c r="G308" s="34"/>
      <c r="H308" s="2"/>
      <c r="I308" s="2"/>
      <c r="J308" s="2"/>
      <c r="K308" s="2"/>
      <c r="L308" s="2"/>
      <c r="M308" s="2"/>
      <c r="N308" s="2"/>
      <c r="O308" s="2"/>
      <c r="P308" s="2"/>
      <c r="Q308" s="33"/>
      <c r="R308" s="34"/>
      <c r="S308" s="33"/>
    </row>
    <row r="309" customFormat="false" ht="15" hidden="false" customHeight="false" outlineLevel="0" collapsed="false">
      <c r="A309" s="35"/>
      <c r="B309" s="36" t="str">
        <f aca="false">IF(A309="","",YEAR(A309)&amp;"-"&amp;TEXT(MONTH(A309),"00"))</f>
        <v/>
      </c>
      <c r="C309" s="34"/>
      <c r="D309" s="2"/>
      <c r="E309" s="35"/>
      <c r="F309" s="33"/>
      <c r="G309" s="34"/>
      <c r="H309" s="2"/>
      <c r="I309" s="2"/>
      <c r="J309" s="2"/>
      <c r="K309" s="2"/>
      <c r="L309" s="2"/>
      <c r="M309" s="2"/>
      <c r="N309" s="2"/>
      <c r="O309" s="2"/>
      <c r="P309" s="2"/>
      <c r="Q309" s="33"/>
      <c r="R309" s="34"/>
      <c r="S309" s="33"/>
    </row>
    <row r="310" customFormat="false" ht="15" hidden="false" customHeight="false" outlineLevel="0" collapsed="false">
      <c r="A310" s="35"/>
      <c r="B310" s="36" t="str">
        <f aca="false">IF(A310="","",YEAR(A310)&amp;"-"&amp;TEXT(MONTH(A310),"00"))</f>
        <v/>
      </c>
      <c r="C310" s="34"/>
      <c r="D310" s="2"/>
      <c r="E310" s="35"/>
      <c r="F310" s="33"/>
      <c r="G310" s="34"/>
      <c r="H310" s="2"/>
      <c r="I310" s="2"/>
      <c r="J310" s="2"/>
      <c r="K310" s="2"/>
      <c r="L310" s="2"/>
      <c r="M310" s="2"/>
      <c r="N310" s="2"/>
      <c r="O310" s="2"/>
      <c r="P310" s="2"/>
      <c r="Q310" s="33"/>
      <c r="R310" s="34"/>
      <c r="S310" s="33"/>
    </row>
    <row r="311" customFormat="false" ht="15" hidden="false" customHeight="false" outlineLevel="0" collapsed="false">
      <c r="A311" s="35"/>
      <c r="B311" s="36" t="str">
        <f aca="false">IF(A311="","",YEAR(A311)&amp;"-"&amp;TEXT(MONTH(A311),"00"))</f>
        <v/>
      </c>
      <c r="C311" s="34"/>
      <c r="D311" s="2"/>
      <c r="E311" s="35"/>
      <c r="F311" s="33"/>
      <c r="G311" s="34"/>
      <c r="H311" s="2"/>
      <c r="I311" s="2"/>
      <c r="J311" s="2"/>
      <c r="K311" s="2"/>
      <c r="L311" s="2"/>
      <c r="M311" s="2"/>
      <c r="N311" s="2"/>
      <c r="O311" s="2"/>
      <c r="P311" s="2"/>
      <c r="Q311" s="33"/>
      <c r="R311" s="34"/>
      <c r="S311" s="33"/>
    </row>
    <row r="312" customFormat="false" ht="15" hidden="false" customHeight="false" outlineLevel="0" collapsed="false">
      <c r="A312" s="35"/>
      <c r="B312" s="36" t="str">
        <f aca="false">IF(A312="","",YEAR(A312)&amp;"-"&amp;TEXT(MONTH(A312),"00"))</f>
        <v/>
      </c>
      <c r="C312" s="34"/>
      <c r="D312" s="2"/>
      <c r="E312" s="35"/>
      <c r="F312" s="33"/>
      <c r="G312" s="34"/>
      <c r="H312" s="2"/>
      <c r="I312" s="2"/>
      <c r="J312" s="2"/>
      <c r="K312" s="2"/>
      <c r="L312" s="2"/>
      <c r="M312" s="2"/>
      <c r="N312" s="2"/>
      <c r="O312" s="2"/>
      <c r="P312" s="2"/>
      <c r="Q312" s="33"/>
      <c r="R312" s="34"/>
      <c r="S312" s="33"/>
    </row>
    <row r="313" customFormat="false" ht="15" hidden="false" customHeight="false" outlineLevel="0" collapsed="false">
      <c r="A313" s="35"/>
      <c r="B313" s="36" t="str">
        <f aca="false">IF(A313="","",YEAR(A313)&amp;"-"&amp;TEXT(MONTH(A313),"00"))</f>
        <v/>
      </c>
      <c r="C313" s="34"/>
      <c r="D313" s="2"/>
      <c r="E313" s="35"/>
      <c r="F313" s="33"/>
      <c r="G313" s="34"/>
      <c r="H313" s="2"/>
      <c r="I313" s="2"/>
      <c r="J313" s="2"/>
      <c r="K313" s="2"/>
      <c r="L313" s="2"/>
      <c r="M313" s="2"/>
      <c r="N313" s="2"/>
      <c r="O313" s="2"/>
      <c r="P313" s="2"/>
      <c r="Q313" s="33"/>
      <c r="R313" s="34"/>
      <c r="S313" s="33"/>
    </row>
    <row r="314" customFormat="false" ht="15" hidden="false" customHeight="false" outlineLevel="0" collapsed="false">
      <c r="A314" s="35"/>
      <c r="B314" s="36" t="str">
        <f aca="false">IF(A314="","",YEAR(A314)&amp;"-"&amp;TEXT(MONTH(A314),"00"))</f>
        <v/>
      </c>
      <c r="C314" s="34"/>
      <c r="D314" s="2"/>
      <c r="E314" s="35"/>
      <c r="F314" s="33"/>
      <c r="G314" s="34"/>
      <c r="H314" s="2"/>
      <c r="I314" s="2"/>
      <c r="J314" s="2"/>
      <c r="K314" s="2"/>
      <c r="L314" s="2"/>
      <c r="M314" s="2"/>
      <c r="N314" s="2"/>
      <c r="O314" s="2"/>
      <c r="P314" s="2"/>
      <c r="Q314" s="33"/>
      <c r="R314" s="34"/>
      <c r="S314" s="33"/>
    </row>
    <row r="315" customFormat="false" ht="15" hidden="false" customHeight="false" outlineLevel="0" collapsed="false">
      <c r="A315" s="35"/>
      <c r="B315" s="36" t="str">
        <f aca="false">IF(A315="","",YEAR(A315)&amp;"-"&amp;TEXT(MONTH(A315),"00"))</f>
        <v/>
      </c>
      <c r="C315" s="34"/>
      <c r="D315" s="2"/>
      <c r="E315" s="35"/>
      <c r="F315" s="33"/>
      <c r="G315" s="34"/>
      <c r="H315" s="2"/>
      <c r="I315" s="2"/>
      <c r="J315" s="2"/>
      <c r="K315" s="2"/>
      <c r="L315" s="2"/>
      <c r="M315" s="2"/>
      <c r="N315" s="2"/>
      <c r="O315" s="2"/>
      <c r="P315" s="2"/>
      <c r="Q315" s="33"/>
      <c r="R315" s="34"/>
      <c r="S315" s="33"/>
    </row>
    <row r="316" customFormat="false" ht="15" hidden="false" customHeight="false" outlineLevel="0" collapsed="false">
      <c r="A316" s="35"/>
      <c r="B316" s="36" t="str">
        <f aca="false">IF(A316="","",YEAR(A316)&amp;"-"&amp;TEXT(MONTH(A316),"00"))</f>
        <v/>
      </c>
      <c r="C316" s="34"/>
      <c r="D316" s="2"/>
      <c r="E316" s="35"/>
      <c r="F316" s="33"/>
      <c r="G316" s="34"/>
      <c r="H316" s="2"/>
      <c r="I316" s="2"/>
      <c r="J316" s="2"/>
      <c r="K316" s="2"/>
      <c r="L316" s="2"/>
      <c r="M316" s="2"/>
      <c r="N316" s="2"/>
      <c r="O316" s="2"/>
      <c r="P316" s="2"/>
      <c r="Q316" s="33"/>
      <c r="R316" s="34"/>
      <c r="S316" s="33"/>
    </row>
    <row r="317" customFormat="false" ht="15" hidden="false" customHeight="false" outlineLevel="0" collapsed="false">
      <c r="A317" s="35"/>
      <c r="B317" s="36" t="str">
        <f aca="false">IF(A317="","",YEAR(A317)&amp;"-"&amp;TEXT(MONTH(A317),"00"))</f>
        <v/>
      </c>
      <c r="C317" s="34"/>
      <c r="D317" s="2"/>
      <c r="E317" s="35"/>
      <c r="F317" s="33"/>
      <c r="G317" s="34"/>
      <c r="H317" s="2"/>
      <c r="I317" s="2"/>
      <c r="J317" s="2"/>
      <c r="K317" s="2"/>
      <c r="L317" s="2"/>
      <c r="M317" s="2"/>
      <c r="N317" s="2"/>
      <c r="O317" s="2"/>
      <c r="P317" s="2"/>
      <c r="Q317" s="33"/>
      <c r="R317" s="34"/>
      <c r="S317" s="33"/>
    </row>
    <row r="318" customFormat="false" ht="15" hidden="false" customHeight="false" outlineLevel="0" collapsed="false">
      <c r="A318" s="35"/>
      <c r="B318" s="36" t="str">
        <f aca="false">IF(A318="","",YEAR(A318)&amp;"-"&amp;TEXT(MONTH(A318),"00"))</f>
        <v/>
      </c>
      <c r="C318" s="34"/>
      <c r="D318" s="2"/>
      <c r="E318" s="35"/>
      <c r="F318" s="33"/>
      <c r="G318" s="34"/>
      <c r="H318" s="2"/>
      <c r="I318" s="2"/>
      <c r="J318" s="2"/>
      <c r="K318" s="2"/>
      <c r="L318" s="2"/>
      <c r="M318" s="2"/>
      <c r="N318" s="2"/>
      <c r="O318" s="2"/>
      <c r="P318" s="2"/>
      <c r="Q318" s="33"/>
      <c r="R318" s="34"/>
      <c r="S318" s="33"/>
    </row>
    <row r="319" customFormat="false" ht="15" hidden="false" customHeight="false" outlineLevel="0" collapsed="false">
      <c r="A319" s="35"/>
      <c r="B319" s="36" t="str">
        <f aca="false">IF(A319="","",YEAR(A319)&amp;"-"&amp;TEXT(MONTH(A319),"00"))</f>
        <v/>
      </c>
      <c r="C319" s="34"/>
      <c r="D319" s="2"/>
      <c r="E319" s="35"/>
      <c r="F319" s="33"/>
      <c r="G319" s="34"/>
      <c r="H319" s="2"/>
      <c r="I319" s="2"/>
      <c r="J319" s="2"/>
      <c r="K319" s="2"/>
      <c r="L319" s="2"/>
      <c r="M319" s="2"/>
      <c r="N319" s="2"/>
      <c r="O319" s="2"/>
      <c r="P319" s="2"/>
      <c r="Q319" s="33"/>
      <c r="R319" s="34"/>
      <c r="S319" s="33"/>
    </row>
    <row r="320" customFormat="false" ht="15" hidden="false" customHeight="false" outlineLevel="0" collapsed="false">
      <c r="A320" s="35"/>
      <c r="B320" s="36" t="str">
        <f aca="false">IF(A320="","",YEAR(A320)&amp;"-"&amp;TEXT(MONTH(A320),"00"))</f>
        <v/>
      </c>
      <c r="C320" s="34"/>
      <c r="D320" s="2"/>
      <c r="E320" s="35"/>
      <c r="F320" s="33"/>
      <c r="G320" s="34"/>
      <c r="H320" s="2"/>
      <c r="I320" s="2"/>
      <c r="J320" s="2"/>
      <c r="K320" s="2"/>
      <c r="L320" s="2"/>
      <c r="M320" s="2"/>
      <c r="N320" s="2"/>
      <c r="O320" s="2"/>
      <c r="P320" s="2"/>
      <c r="Q320" s="33"/>
      <c r="R320" s="34"/>
      <c r="S320" s="33"/>
    </row>
    <row r="321" customFormat="false" ht="15" hidden="false" customHeight="false" outlineLevel="0" collapsed="false">
      <c r="A321" s="35"/>
      <c r="B321" s="36" t="str">
        <f aca="false">IF(A321="","",YEAR(A321)&amp;"-"&amp;TEXT(MONTH(A321),"00"))</f>
        <v/>
      </c>
      <c r="C321" s="34"/>
      <c r="D321" s="2"/>
      <c r="E321" s="35"/>
      <c r="F321" s="33"/>
      <c r="G321" s="34"/>
      <c r="H321" s="2"/>
      <c r="I321" s="2"/>
      <c r="J321" s="2"/>
      <c r="K321" s="2"/>
      <c r="L321" s="2"/>
      <c r="M321" s="2"/>
      <c r="N321" s="2"/>
      <c r="O321" s="2"/>
      <c r="P321" s="2"/>
      <c r="Q321" s="33"/>
      <c r="R321" s="34"/>
      <c r="S321" s="33"/>
    </row>
    <row r="322" customFormat="false" ht="15" hidden="false" customHeight="false" outlineLevel="0" collapsed="false">
      <c r="A322" s="35"/>
      <c r="B322" s="36" t="str">
        <f aca="false">IF(A322="","",YEAR(A322)&amp;"-"&amp;TEXT(MONTH(A322),"00"))</f>
        <v/>
      </c>
      <c r="C322" s="34"/>
      <c r="D322" s="2"/>
      <c r="E322" s="35"/>
      <c r="F322" s="33"/>
      <c r="G322" s="34"/>
      <c r="H322" s="2"/>
      <c r="I322" s="2"/>
      <c r="J322" s="2"/>
      <c r="K322" s="2"/>
      <c r="L322" s="2"/>
      <c r="M322" s="2"/>
      <c r="N322" s="2"/>
      <c r="O322" s="2"/>
      <c r="P322" s="2"/>
      <c r="Q322" s="33"/>
      <c r="R322" s="34"/>
      <c r="S322" s="33"/>
    </row>
    <row r="323" customFormat="false" ht="15" hidden="false" customHeight="false" outlineLevel="0" collapsed="false">
      <c r="A323" s="35"/>
      <c r="B323" s="36" t="str">
        <f aca="false">IF(A323="","",YEAR(A323)&amp;"-"&amp;TEXT(MONTH(A323),"00"))</f>
        <v/>
      </c>
      <c r="C323" s="34"/>
      <c r="D323" s="2"/>
      <c r="E323" s="35"/>
      <c r="F323" s="33"/>
      <c r="G323" s="34"/>
      <c r="H323" s="2"/>
      <c r="I323" s="2"/>
      <c r="J323" s="2"/>
      <c r="K323" s="2"/>
      <c r="L323" s="2"/>
      <c r="M323" s="2"/>
      <c r="N323" s="2"/>
      <c r="O323" s="2"/>
      <c r="P323" s="2"/>
      <c r="Q323" s="33"/>
      <c r="R323" s="34"/>
      <c r="S323" s="33"/>
    </row>
    <row r="324" customFormat="false" ht="15" hidden="false" customHeight="false" outlineLevel="0" collapsed="false">
      <c r="A324" s="35"/>
      <c r="B324" s="36" t="str">
        <f aca="false">IF(A324="","",YEAR(A324)&amp;"-"&amp;TEXT(MONTH(A324),"00"))</f>
        <v/>
      </c>
      <c r="C324" s="34"/>
      <c r="D324" s="2"/>
      <c r="E324" s="35"/>
      <c r="F324" s="33"/>
      <c r="G324" s="34"/>
      <c r="H324" s="2"/>
      <c r="I324" s="2"/>
      <c r="J324" s="2"/>
      <c r="K324" s="2"/>
      <c r="L324" s="2"/>
      <c r="M324" s="2"/>
      <c r="N324" s="2"/>
      <c r="O324" s="2"/>
      <c r="P324" s="2"/>
      <c r="Q324" s="33"/>
      <c r="R324" s="34"/>
      <c r="S324" s="33"/>
    </row>
    <row r="325" customFormat="false" ht="15" hidden="false" customHeight="false" outlineLevel="0" collapsed="false">
      <c r="A325" s="35"/>
      <c r="B325" s="36" t="str">
        <f aca="false">IF(A325="","",YEAR(A325)&amp;"-"&amp;TEXT(MONTH(A325),"00"))</f>
        <v/>
      </c>
      <c r="C325" s="34"/>
      <c r="D325" s="2"/>
      <c r="E325" s="35"/>
      <c r="F325" s="33"/>
      <c r="G325" s="34"/>
      <c r="H325" s="2"/>
      <c r="I325" s="2"/>
      <c r="J325" s="2"/>
      <c r="K325" s="2"/>
      <c r="L325" s="2"/>
      <c r="M325" s="2"/>
      <c r="N325" s="2"/>
      <c r="O325" s="2"/>
      <c r="P325" s="2"/>
      <c r="Q325" s="33"/>
      <c r="R325" s="34"/>
      <c r="S325" s="33"/>
    </row>
    <row r="326" customFormat="false" ht="15" hidden="false" customHeight="false" outlineLevel="0" collapsed="false">
      <c r="A326" s="35"/>
      <c r="B326" s="36" t="str">
        <f aca="false">IF(A326="","",YEAR(A326)&amp;"-"&amp;TEXT(MONTH(A326),"00"))</f>
        <v/>
      </c>
      <c r="C326" s="34"/>
      <c r="D326" s="2"/>
      <c r="E326" s="35"/>
      <c r="F326" s="33"/>
      <c r="G326" s="34"/>
      <c r="H326" s="2"/>
      <c r="I326" s="2"/>
      <c r="J326" s="2"/>
      <c r="K326" s="2"/>
      <c r="L326" s="2"/>
      <c r="M326" s="2"/>
      <c r="N326" s="2"/>
      <c r="O326" s="2"/>
      <c r="P326" s="2"/>
      <c r="Q326" s="33"/>
      <c r="R326" s="34"/>
      <c r="S326" s="33"/>
    </row>
    <row r="327" customFormat="false" ht="15" hidden="false" customHeight="false" outlineLevel="0" collapsed="false">
      <c r="A327" s="35"/>
      <c r="B327" s="36" t="str">
        <f aca="false">IF(A327="","",YEAR(A327)&amp;"-"&amp;TEXT(MONTH(A327),"00"))</f>
        <v/>
      </c>
      <c r="C327" s="34"/>
      <c r="D327" s="2"/>
      <c r="E327" s="35"/>
      <c r="F327" s="33"/>
      <c r="G327" s="34"/>
      <c r="H327" s="2"/>
      <c r="I327" s="2"/>
      <c r="J327" s="2"/>
      <c r="K327" s="2"/>
      <c r="L327" s="2"/>
      <c r="M327" s="2"/>
      <c r="N327" s="2"/>
      <c r="O327" s="2"/>
      <c r="P327" s="2"/>
      <c r="Q327" s="33"/>
      <c r="R327" s="34"/>
      <c r="S327" s="33"/>
    </row>
    <row r="328" customFormat="false" ht="15" hidden="false" customHeight="false" outlineLevel="0" collapsed="false">
      <c r="A328" s="35"/>
      <c r="B328" s="36" t="str">
        <f aca="false">IF(A328="","",YEAR(A328)&amp;"-"&amp;TEXT(MONTH(A328),"00"))</f>
        <v/>
      </c>
      <c r="C328" s="34"/>
      <c r="D328" s="2"/>
      <c r="E328" s="35"/>
      <c r="F328" s="33"/>
      <c r="G328" s="34"/>
      <c r="H328" s="2"/>
      <c r="I328" s="2"/>
      <c r="J328" s="2"/>
      <c r="K328" s="2"/>
      <c r="L328" s="2"/>
      <c r="M328" s="2"/>
      <c r="N328" s="2"/>
      <c r="O328" s="2"/>
      <c r="P328" s="2"/>
      <c r="Q328" s="33"/>
      <c r="R328" s="34"/>
      <c r="S328" s="33"/>
    </row>
    <row r="329" customFormat="false" ht="15" hidden="false" customHeight="false" outlineLevel="0" collapsed="false">
      <c r="A329" s="35"/>
      <c r="B329" s="36" t="str">
        <f aca="false">IF(A329="","",YEAR(A329)&amp;"-"&amp;TEXT(MONTH(A329),"00"))</f>
        <v/>
      </c>
      <c r="C329" s="34"/>
      <c r="D329" s="2"/>
      <c r="E329" s="35"/>
      <c r="F329" s="33"/>
      <c r="G329" s="34"/>
      <c r="H329" s="2"/>
      <c r="I329" s="2"/>
      <c r="J329" s="2"/>
      <c r="K329" s="2"/>
      <c r="L329" s="2"/>
      <c r="M329" s="2"/>
      <c r="N329" s="2"/>
      <c r="O329" s="2"/>
      <c r="P329" s="2"/>
      <c r="Q329" s="33"/>
      <c r="R329" s="34"/>
      <c r="S329" s="33"/>
    </row>
    <row r="330" customFormat="false" ht="15" hidden="false" customHeight="false" outlineLevel="0" collapsed="false">
      <c r="A330" s="35"/>
      <c r="B330" s="36" t="str">
        <f aca="false">IF(A330="","",YEAR(A330)&amp;"-"&amp;TEXT(MONTH(A330),"00"))</f>
        <v/>
      </c>
      <c r="C330" s="34"/>
      <c r="D330" s="2"/>
      <c r="E330" s="35"/>
      <c r="F330" s="33"/>
      <c r="G330" s="34"/>
      <c r="H330" s="2"/>
      <c r="I330" s="2"/>
      <c r="J330" s="2"/>
      <c r="K330" s="2"/>
      <c r="L330" s="2"/>
      <c r="M330" s="2"/>
      <c r="N330" s="2"/>
      <c r="O330" s="2"/>
      <c r="P330" s="2"/>
      <c r="Q330" s="33"/>
      <c r="R330" s="34"/>
      <c r="S330" s="33"/>
    </row>
    <row r="331" customFormat="false" ht="15" hidden="false" customHeight="false" outlineLevel="0" collapsed="false">
      <c r="A331" s="35"/>
      <c r="B331" s="36" t="str">
        <f aca="false">IF(A331="","",YEAR(A331)&amp;"-"&amp;TEXT(MONTH(A331),"00"))</f>
        <v/>
      </c>
      <c r="C331" s="34"/>
      <c r="D331" s="2"/>
      <c r="E331" s="35"/>
      <c r="F331" s="33"/>
      <c r="G331" s="34"/>
      <c r="H331" s="2"/>
      <c r="I331" s="2"/>
      <c r="J331" s="2"/>
      <c r="K331" s="2"/>
      <c r="L331" s="2"/>
      <c r="M331" s="2"/>
      <c r="N331" s="2"/>
      <c r="O331" s="2"/>
      <c r="P331" s="2"/>
      <c r="Q331" s="33"/>
      <c r="R331" s="34"/>
      <c r="S331" s="33"/>
    </row>
    <row r="332" customFormat="false" ht="15" hidden="false" customHeight="false" outlineLevel="0" collapsed="false">
      <c r="A332" s="35"/>
      <c r="B332" s="36" t="str">
        <f aca="false">IF(A332="","",YEAR(A332)&amp;"-"&amp;TEXT(MONTH(A332),"00"))</f>
        <v/>
      </c>
      <c r="C332" s="34"/>
      <c r="D332" s="2"/>
      <c r="E332" s="35"/>
      <c r="F332" s="33"/>
      <c r="G332" s="34"/>
      <c r="H332" s="2"/>
      <c r="I332" s="2"/>
      <c r="J332" s="2"/>
      <c r="K332" s="2"/>
      <c r="L332" s="2"/>
      <c r="M332" s="2"/>
      <c r="N332" s="2"/>
      <c r="O332" s="2"/>
      <c r="P332" s="2"/>
      <c r="Q332" s="33"/>
      <c r="R332" s="34"/>
      <c r="S332" s="33"/>
    </row>
    <row r="333" customFormat="false" ht="15" hidden="false" customHeight="false" outlineLevel="0" collapsed="false">
      <c r="A333" s="35"/>
      <c r="B333" s="36" t="str">
        <f aca="false">IF(A333="","",YEAR(A333)&amp;"-"&amp;TEXT(MONTH(A333),"00"))</f>
        <v/>
      </c>
      <c r="C333" s="34"/>
      <c r="D333" s="2"/>
      <c r="E333" s="35"/>
      <c r="F333" s="33"/>
      <c r="G333" s="34"/>
      <c r="H333" s="2"/>
      <c r="I333" s="2"/>
      <c r="J333" s="2"/>
      <c r="K333" s="2"/>
      <c r="L333" s="2"/>
      <c r="M333" s="2"/>
      <c r="N333" s="2"/>
      <c r="O333" s="2"/>
      <c r="P333" s="2"/>
      <c r="Q333" s="33"/>
      <c r="R333" s="34"/>
      <c r="S333" s="33"/>
    </row>
    <row r="334" customFormat="false" ht="15" hidden="false" customHeight="false" outlineLevel="0" collapsed="false">
      <c r="A334" s="35"/>
      <c r="B334" s="36" t="str">
        <f aca="false">IF(A334="","",YEAR(A334)&amp;"-"&amp;TEXT(MONTH(A334),"00"))</f>
        <v/>
      </c>
      <c r="C334" s="34"/>
      <c r="D334" s="2"/>
      <c r="E334" s="35"/>
      <c r="F334" s="33"/>
      <c r="G334" s="34"/>
      <c r="H334" s="2"/>
      <c r="I334" s="2"/>
      <c r="J334" s="2"/>
      <c r="K334" s="2"/>
      <c r="L334" s="2"/>
      <c r="M334" s="2"/>
      <c r="N334" s="2"/>
      <c r="O334" s="2"/>
      <c r="P334" s="2"/>
      <c r="Q334" s="33"/>
      <c r="R334" s="34"/>
      <c r="S334" s="33"/>
    </row>
    <row r="335" customFormat="false" ht="15" hidden="false" customHeight="false" outlineLevel="0" collapsed="false">
      <c r="A335" s="35"/>
      <c r="B335" s="36" t="str">
        <f aca="false">IF(A335="","",YEAR(A335)&amp;"-"&amp;TEXT(MONTH(A335),"00"))</f>
        <v/>
      </c>
      <c r="C335" s="34"/>
      <c r="D335" s="2"/>
      <c r="E335" s="35"/>
      <c r="F335" s="33"/>
      <c r="G335" s="34"/>
      <c r="H335" s="2"/>
      <c r="I335" s="2"/>
      <c r="J335" s="2"/>
      <c r="K335" s="2"/>
      <c r="L335" s="2"/>
      <c r="M335" s="2"/>
      <c r="N335" s="2"/>
      <c r="O335" s="2"/>
      <c r="P335" s="2"/>
      <c r="Q335" s="33"/>
      <c r="R335" s="34"/>
      <c r="S335" s="33"/>
    </row>
    <row r="336" customFormat="false" ht="15" hidden="false" customHeight="false" outlineLevel="0" collapsed="false">
      <c r="A336" s="35"/>
      <c r="B336" s="36" t="str">
        <f aca="false">IF(A336="","",YEAR(A336)&amp;"-"&amp;TEXT(MONTH(A336),"00"))</f>
        <v/>
      </c>
      <c r="C336" s="34"/>
      <c r="D336" s="2"/>
      <c r="E336" s="35"/>
      <c r="F336" s="33"/>
      <c r="G336" s="34"/>
      <c r="H336" s="2"/>
      <c r="I336" s="2"/>
      <c r="J336" s="2"/>
      <c r="K336" s="2"/>
      <c r="L336" s="2"/>
      <c r="M336" s="2"/>
      <c r="N336" s="2"/>
      <c r="O336" s="2"/>
      <c r="P336" s="2"/>
      <c r="Q336" s="33"/>
      <c r="R336" s="34"/>
      <c r="S336" s="33"/>
    </row>
    <row r="337" customFormat="false" ht="15" hidden="false" customHeight="false" outlineLevel="0" collapsed="false">
      <c r="A337" s="35"/>
      <c r="B337" s="36" t="str">
        <f aca="false">IF(A337="","",YEAR(A337)&amp;"-"&amp;TEXT(MONTH(A337),"00"))</f>
        <v/>
      </c>
      <c r="C337" s="34"/>
      <c r="D337" s="2"/>
      <c r="E337" s="35"/>
      <c r="F337" s="33"/>
      <c r="G337" s="34"/>
      <c r="H337" s="2"/>
      <c r="I337" s="2"/>
      <c r="J337" s="2"/>
      <c r="K337" s="2"/>
      <c r="L337" s="2"/>
      <c r="M337" s="2"/>
      <c r="N337" s="2"/>
      <c r="O337" s="2"/>
      <c r="P337" s="2"/>
      <c r="Q337" s="33"/>
      <c r="R337" s="34"/>
      <c r="S337" s="33"/>
    </row>
    <row r="338" customFormat="false" ht="15" hidden="false" customHeight="false" outlineLevel="0" collapsed="false">
      <c r="A338" s="35"/>
      <c r="B338" s="36" t="str">
        <f aca="false">IF(A338="","",YEAR(A338)&amp;"-"&amp;TEXT(MONTH(A338),"00"))</f>
        <v/>
      </c>
      <c r="C338" s="34"/>
      <c r="D338" s="2"/>
      <c r="E338" s="35"/>
      <c r="F338" s="33"/>
      <c r="G338" s="34"/>
      <c r="H338" s="2"/>
      <c r="I338" s="2"/>
      <c r="J338" s="2"/>
      <c r="K338" s="2"/>
      <c r="L338" s="2"/>
      <c r="M338" s="2"/>
      <c r="N338" s="2"/>
      <c r="O338" s="2"/>
      <c r="P338" s="2"/>
      <c r="Q338" s="33"/>
      <c r="R338" s="34"/>
      <c r="S338" s="33"/>
    </row>
    <row r="339" customFormat="false" ht="15" hidden="false" customHeight="false" outlineLevel="0" collapsed="false">
      <c r="A339" s="35"/>
      <c r="B339" s="36" t="str">
        <f aca="false">IF(A339="","",YEAR(A339)&amp;"-"&amp;TEXT(MONTH(A339),"00"))</f>
        <v/>
      </c>
      <c r="C339" s="34"/>
      <c r="D339" s="2"/>
      <c r="E339" s="35"/>
      <c r="F339" s="33"/>
      <c r="G339" s="34"/>
      <c r="H339" s="2"/>
      <c r="I339" s="2"/>
      <c r="J339" s="2"/>
      <c r="K339" s="2"/>
      <c r="L339" s="2"/>
      <c r="M339" s="2"/>
      <c r="N339" s="2"/>
      <c r="O339" s="2"/>
      <c r="P339" s="2"/>
      <c r="Q339" s="33"/>
      <c r="R339" s="34"/>
      <c r="S339" s="33"/>
    </row>
    <row r="340" customFormat="false" ht="15" hidden="false" customHeight="false" outlineLevel="0" collapsed="false">
      <c r="A340" s="35"/>
      <c r="B340" s="36" t="str">
        <f aca="false">IF(A340="","",YEAR(A340)&amp;"-"&amp;TEXT(MONTH(A340),"00"))</f>
        <v/>
      </c>
      <c r="C340" s="34"/>
      <c r="D340" s="2"/>
      <c r="E340" s="35"/>
      <c r="F340" s="33"/>
      <c r="G340" s="34"/>
      <c r="H340" s="2"/>
      <c r="I340" s="2"/>
      <c r="J340" s="2"/>
      <c r="K340" s="2"/>
      <c r="L340" s="2"/>
      <c r="M340" s="2"/>
      <c r="N340" s="2"/>
      <c r="O340" s="2"/>
      <c r="P340" s="2"/>
      <c r="Q340" s="33"/>
      <c r="R340" s="34"/>
      <c r="S340" s="33"/>
    </row>
    <row r="341" customFormat="false" ht="15" hidden="false" customHeight="false" outlineLevel="0" collapsed="false">
      <c r="A341" s="35"/>
      <c r="B341" s="36" t="str">
        <f aca="false">IF(A341="","",YEAR(A341)&amp;"-"&amp;TEXT(MONTH(A341),"00"))</f>
        <v/>
      </c>
      <c r="C341" s="34"/>
      <c r="D341" s="2"/>
      <c r="E341" s="35"/>
      <c r="F341" s="33"/>
      <c r="G341" s="34"/>
      <c r="H341" s="2"/>
      <c r="I341" s="2"/>
      <c r="J341" s="2"/>
      <c r="K341" s="2"/>
      <c r="L341" s="2"/>
      <c r="M341" s="2"/>
      <c r="N341" s="2"/>
      <c r="O341" s="2"/>
      <c r="P341" s="2"/>
      <c r="Q341" s="33"/>
      <c r="R341" s="34"/>
      <c r="S341" s="33"/>
    </row>
    <row r="342" customFormat="false" ht="15" hidden="false" customHeight="false" outlineLevel="0" collapsed="false">
      <c r="A342" s="35"/>
      <c r="B342" s="36" t="str">
        <f aca="false">IF(A342="","",YEAR(A342)&amp;"-"&amp;TEXT(MONTH(A342),"00"))</f>
        <v/>
      </c>
      <c r="C342" s="34"/>
      <c r="D342" s="2"/>
      <c r="E342" s="35"/>
      <c r="F342" s="33"/>
      <c r="G342" s="34"/>
      <c r="H342" s="2"/>
      <c r="I342" s="2"/>
      <c r="J342" s="2"/>
      <c r="K342" s="2"/>
      <c r="L342" s="2"/>
      <c r="M342" s="2"/>
      <c r="N342" s="2"/>
      <c r="O342" s="2"/>
      <c r="P342" s="2"/>
      <c r="Q342" s="33"/>
      <c r="R342" s="34"/>
      <c r="S342" s="33"/>
    </row>
    <row r="343" customFormat="false" ht="15" hidden="false" customHeight="false" outlineLevel="0" collapsed="false">
      <c r="A343" s="35"/>
      <c r="B343" s="36" t="str">
        <f aca="false">IF(A343="","",YEAR(A343)&amp;"-"&amp;TEXT(MONTH(A343),"00"))</f>
        <v/>
      </c>
      <c r="C343" s="34"/>
      <c r="D343" s="2"/>
      <c r="E343" s="35"/>
      <c r="F343" s="33"/>
      <c r="G343" s="34"/>
      <c r="H343" s="2"/>
      <c r="I343" s="2"/>
      <c r="J343" s="2"/>
      <c r="K343" s="2"/>
      <c r="L343" s="2"/>
      <c r="M343" s="2"/>
      <c r="N343" s="2"/>
      <c r="O343" s="2"/>
      <c r="P343" s="2"/>
      <c r="Q343" s="33"/>
      <c r="R343" s="34"/>
      <c r="S343" s="33"/>
    </row>
    <row r="344" customFormat="false" ht="15" hidden="false" customHeight="false" outlineLevel="0" collapsed="false">
      <c r="A344" s="35"/>
      <c r="B344" s="36" t="str">
        <f aca="false">IF(A344="","",YEAR(A344)&amp;"-"&amp;TEXT(MONTH(A344),"00"))</f>
        <v/>
      </c>
      <c r="C344" s="34"/>
      <c r="D344" s="2"/>
      <c r="E344" s="35"/>
      <c r="F344" s="33"/>
      <c r="G344" s="34"/>
      <c r="H344" s="2"/>
      <c r="I344" s="2"/>
      <c r="J344" s="2"/>
      <c r="K344" s="2"/>
      <c r="L344" s="2"/>
      <c r="M344" s="2"/>
      <c r="N344" s="2"/>
      <c r="O344" s="2"/>
      <c r="P344" s="2"/>
      <c r="Q344" s="33"/>
      <c r="R344" s="34"/>
      <c r="S344" s="33"/>
    </row>
    <row r="345" customFormat="false" ht="15" hidden="false" customHeight="false" outlineLevel="0" collapsed="false">
      <c r="A345" s="35"/>
      <c r="B345" s="36" t="str">
        <f aca="false">IF(A345="","",YEAR(A345)&amp;"-"&amp;TEXT(MONTH(A345),"00"))</f>
        <v/>
      </c>
      <c r="C345" s="34"/>
      <c r="D345" s="2"/>
      <c r="E345" s="35"/>
      <c r="F345" s="33"/>
      <c r="G345" s="34"/>
      <c r="H345" s="2"/>
      <c r="I345" s="2"/>
      <c r="J345" s="2"/>
      <c r="K345" s="2"/>
      <c r="L345" s="2"/>
      <c r="M345" s="2"/>
      <c r="N345" s="2"/>
      <c r="O345" s="2"/>
      <c r="P345" s="2"/>
      <c r="Q345" s="33"/>
      <c r="R345" s="34"/>
      <c r="S345" s="33"/>
    </row>
    <row r="346" customFormat="false" ht="15" hidden="false" customHeight="false" outlineLevel="0" collapsed="false">
      <c r="A346" s="35"/>
      <c r="B346" s="36" t="str">
        <f aca="false">IF(A346="","",YEAR(A346)&amp;"-"&amp;TEXT(MONTH(A346),"00"))</f>
        <v/>
      </c>
      <c r="C346" s="34"/>
      <c r="D346" s="2"/>
      <c r="E346" s="35"/>
      <c r="F346" s="33"/>
      <c r="G346" s="34"/>
      <c r="H346" s="2"/>
      <c r="I346" s="2"/>
      <c r="J346" s="2"/>
      <c r="K346" s="2"/>
      <c r="L346" s="2"/>
      <c r="M346" s="2"/>
      <c r="N346" s="2"/>
      <c r="O346" s="2"/>
      <c r="P346" s="2"/>
      <c r="Q346" s="33"/>
      <c r="R346" s="34"/>
      <c r="S346" s="33"/>
    </row>
    <row r="347" customFormat="false" ht="15" hidden="false" customHeight="false" outlineLevel="0" collapsed="false">
      <c r="A347" s="35"/>
      <c r="B347" s="36" t="str">
        <f aca="false">IF(A347="","",YEAR(A347)&amp;"-"&amp;TEXT(MONTH(A347),"00"))</f>
        <v/>
      </c>
      <c r="C347" s="34"/>
      <c r="D347" s="2"/>
      <c r="E347" s="35"/>
      <c r="F347" s="33"/>
      <c r="G347" s="34"/>
      <c r="H347" s="2"/>
      <c r="I347" s="2"/>
      <c r="J347" s="2"/>
      <c r="K347" s="2"/>
      <c r="L347" s="2"/>
      <c r="M347" s="2"/>
      <c r="N347" s="2"/>
      <c r="O347" s="2"/>
      <c r="P347" s="2"/>
      <c r="Q347" s="33"/>
      <c r="R347" s="34"/>
      <c r="S347" s="33"/>
    </row>
    <row r="348" customFormat="false" ht="15" hidden="false" customHeight="false" outlineLevel="0" collapsed="false">
      <c r="A348" s="35"/>
      <c r="B348" s="36" t="str">
        <f aca="false">IF(A348="","",YEAR(A348)&amp;"-"&amp;TEXT(MONTH(A348),"00"))</f>
        <v/>
      </c>
      <c r="C348" s="34"/>
      <c r="D348" s="2"/>
      <c r="E348" s="35"/>
      <c r="F348" s="33"/>
      <c r="G348" s="34"/>
      <c r="H348" s="2"/>
      <c r="I348" s="2"/>
      <c r="J348" s="2"/>
      <c r="K348" s="2"/>
      <c r="L348" s="2"/>
      <c r="M348" s="2"/>
      <c r="N348" s="2"/>
      <c r="O348" s="2"/>
      <c r="P348" s="2"/>
      <c r="Q348" s="33"/>
      <c r="R348" s="34"/>
      <c r="S348" s="33"/>
    </row>
    <row r="349" customFormat="false" ht="15" hidden="false" customHeight="false" outlineLevel="0" collapsed="false">
      <c r="A349" s="35"/>
      <c r="B349" s="36" t="str">
        <f aca="false">IF(A349="","",YEAR(A349)&amp;"-"&amp;TEXT(MONTH(A349),"00"))</f>
        <v/>
      </c>
      <c r="C349" s="34"/>
      <c r="D349" s="2"/>
      <c r="E349" s="35"/>
      <c r="F349" s="33"/>
      <c r="G349" s="34"/>
      <c r="H349" s="2"/>
      <c r="I349" s="2"/>
      <c r="J349" s="2"/>
      <c r="K349" s="2"/>
      <c r="L349" s="2"/>
      <c r="M349" s="2"/>
      <c r="N349" s="2"/>
      <c r="O349" s="2"/>
      <c r="P349" s="2"/>
      <c r="Q349" s="33"/>
      <c r="R349" s="34"/>
      <c r="S349" s="33"/>
    </row>
    <row r="350" customFormat="false" ht="15" hidden="false" customHeight="false" outlineLevel="0" collapsed="false">
      <c r="A350" s="35"/>
      <c r="B350" s="36" t="str">
        <f aca="false">IF(A350="","",YEAR(A350)&amp;"-"&amp;TEXT(MONTH(A350),"00"))</f>
        <v/>
      </c>
      <c r="C350" s="34"/>
      <c r="D350" s="2"/>
      <c r="E350" s="35"/>
      <c r="F350" s="33"/>
      <c r="G350" s="34"/>
      <c r="H350" s="2"/>
      <c r="I350" s="2"/>
      <c r="J350" s="2"/>
      <c r="K350" s="2"/>
      <c r="L350" s="2"/>
      <c r="M350" s="2"/>
      <c r="N350" s="2"/>
      <c r="O350" s="2"/>
      <c r="P350" s="2"/>
      <c r="Q350" s="33"/>
      <c r="R350" s="34"/>
      <c r="S350" s="33"/>
    </row>
    <row r="351" customFormat="false" ht="15" hidden="false" customHeight="false" outlineLevel="0" collapsed="false">
      <c r="A351" s="35"/>
      <c r="B351" s="36" t="str">
        <f aca="false">IF(A351="","",YEAR(A351)&amp;"-"&amp;TEXT(MONTH(A351),"00"))</f>
        <v/>
      </c>
      <c r="C351" s="34"/>
      <c r="D351" s="2"/>
      <c r="E351" s="35"/>
      <c r="F351" s="33"/>
      <c r="G351" s="34"/>
      <c r="H351" s="2"/>
      <c r="I351" s="2"/>
      <c r="J351" s="2"/>
      <c r="K351" s="2"/>
      <c r="L351" s="2"/>
      <c r="M351" s="2"/>
      <c r="N351" s="2"/>
      <c r="O351" s="2"/>
      <c r="P351" s="2"/>
      <c r="Q351" s="33"/>
      <c r="R351" s="34"/>
      <c r="S351" s="33"/>
    </row>
    <row r="352" customFormat="false" ht="15" hidden="false" customHeight="false" outlineLevel="0" collapsed="false">
      <c r="A352" s="35"/>
      <c r="B352" s="36" t="str">
        <f aca="false">IF(A352="","",YEAR(A352)&amp;"-"&amp;TEXT(MONTH(A352),"00"))</f>
        <v/>
      </c>
      <c r="C352" s="34"/>
      <c r="D352" s="2"/>
      <c r="E352" s="35"/>
      <c r="F352" s="33"/>
      <c r="G352" s="34"/>
      <c r="H352" s="2"/>
      <c r="I352" s="2"/>
      <c r="J352" s="2"/>
      <c r="K352" s="2"/>
      <c r="L352" s="2"/>
      <c r="M352" s="2"/>
      <c r="N352" s="2"/>
      <c r="O352" s="2"/>
      <c r="P352" s="2"/>
      <c r="Q352" s="33"/>
      <c r="R352" s="34"/>
      <c r="S352" s="33"/>
    </row>
    <row r="353" customFormat="false" ht="15" hidden="false" customHeight="false" outlineLevel="0" collapsed="false">
      <c r="A353" s="35"/>
      <c r="B353" s="36" t="str">
        <f aca="false">IF(A353="","",YEAR(A353)&amp;"-"&amp;TEXT(MONTH(A353),"00"))</f>
        <v/>
      </c>
      <c r="C353" s="34"/>
      <c r="D353" s="2"/>
      <c r="E353" s="35"/>
      <c r="F353" s="33"/>
      <c r="G353" s="34"/>
      <c r="H353" s="2"/>
      <c r="I353" s="2"/>
      <c r="J353" s="2"/>
      <c r="K353" s="2"/>
      <c r="L353" s="2"/>
      <c r="M353" s="2"/>
      <c r="N353" s="2"/>
      <c r="O353" s="2"/>
      <c r="P353" s="2"/>
      <c r="Q353" s="33"/>
      <c r="R353" s="34"/>
      <c r="S353" s="33"/>
    </row>
    <row r="354" customFormat="false" ht="15" hidden="false" customHeight="false" outlineLevel="0" collapsed="false">
      <c r="A354" s="35"/>
      <c r="B354" s="36" t="str">
        <f aca="false">IF(A354="","",YEAR(A354)&amp;"-"&amp;TEXT(MONTH(A354),"00"))</f>
        <v/>
      </c>
      <c r="C354" s="34"/>
      <c r="D354" s="2"/>
      <c r="E354" s="35"/>
      <c r="F354" s="33"/>
      <c r="G354" s="34"/>
      <c r="H354" s="2"/>
      <c r="I354" s="2"/>
      <c r="J354" s="2"/>
      <c r="K354" s="2"/>
      <c r="L354" s="2"/>
      <c r="M354" s="2"/>
      <c r="N354" s="2"/>
      <c r="O354" s="2"/>
      <c r="P354" s="2"/>
      <c r="Q354" s="33"/>
      <c r="R354" s="34"/>
      <c r="S354" s="33"/>
    </row>
    <row r="355" customFormat="false" ht="15" hidden="false" customHeight="false" outlineLevel="0" collapsed="false">
      <c r="A355" s="35"/>
      <c r="B355" s="36" t="str">
        <f aca="false">IF(A355="","",YEAR(A355)&amp;"-"&amp;TEXT(MONTH(A355),"00"))</f>
        <v/>
      </c>
      <c r="C355" s="34"/>
      <c r="D355" s="2"/>
      <c r="E355" s="35"/>
      <c r="F355" s="33"/>
      <c r="G355" s="34"/>
      <c r="H355" s="2"/>
      <c r="I355" s="2"/>
      <c r="J355" s="2"/>
      <c r="K355" s="2"/>
      <c r="L355" s="2"/>
      <c r="M355" s="2"/>
      <c r="N355" s="2"/>
      <c r="O355" s="2"/>
      <c r="P355" s="2"/>
      <c r="Q355" s="33"/>
      <c r="R355" s="34"/>
      <c r="S355" s="33"/>
    </row>
    <row r="356" customFormat="false" ht="15" hidden="false" customHeight="false" outlineLevel="0" collapsed="false">
      <c r="A356" s="35"/>
      <c r="B356" s="36" t="str">
        <f aca="false">IF(A356="","",YEAR(A356)&amp;"-"&amp;TEXT(MONTH(A356),"00"))</f>
        <v/>
      </c>
      <c r="C356" s="34"/>
      <c r="D356" s="2"/>
      <c r="E356" s="35"/>
      <c r="F356" s="33"/>
      <c r="G356" s="34"/>
      <c r="H356" s="2"/>
      <c r="I356" s="2"/>
      <c r="J356" s="2"/>
      <c r="K356" s="2"/>
      <c r="L356" s="2"/>
      <c r="M356" s="2"/>
      <c r="N356" s="2"/>
      <c r="O356" s="2"/>
      <c r="P356" s="2"/>
      <c r="Q356" s="33"/>
      <c r="R356" s="34"/>
      <c r="S356" s="33"/>
    </row>
    <row r="357" customFormat="false" ht="15" hidden="false" customHeight="false" outlineLevel="0" collapsed="false">
      <c r="A357" s="35"/>
      <c r="B357" s="36" t="str">
        <f aca="false">IF(A357="","",YEAR(A357)&amp;"-"&amp;TEXT(MONTH(A357),"00"))</f>
        <v/>
      </c>
      <c r="C357" s="34"/>
      <c r="D357" s="2"/>
      <c r="E357" s="35"/>
      <c r="F357" s="33"/>
      <c r="G357" s="34"/>
      <c r="H357" s="2"/>
      <c r="I357" s="2"/>
      <c r="J357" s="2"/>
      <c r="K357" s="2"/>
      <c r="L357" s="2"/>
      <c r="M357" s="2"/>
      <c r="N357" s="2"/>
      <c r="O357" s="2"/>
      <c r="P357" s="2"/>
      <c r="Q357" s="33"/>
      <c r="R357" s="34"/>
      <c r="S357" s="33"/>
    </row>
    <row r="358" customFormat="false" ht="15" hidden="false" customHeight="false" outlineLevel="0" collapsed="false">
      <c r="A358" s="35"/>
      <c r="B358" s="36" t="str">
        <f aca="false">IF(A358="","",YEAR(A358)&amp;"-"&amp;TEXT(MONTH(A358),"00"))</f>
        <v/>
      </c>
      <c r="C358" s="34"/>
      <c r="D358" s="2"/>
      <c r="E358" s="35"/>
      <c r="F358" s="33"/>
      <c r="G358" s="34"/>
      <c r="H358" s="2"/>
      <c r="I358" s="2"/>
      <c r="J358" s="2"/>
      <c r="K358" s="2"/>
      <c r="L358" s="2"/>
      <c r="M358" s="2"/>
      <c r="N358" s="2"/>
      <c r="O358" s="2"/>
      <c r="P358" s="2"/>
      <c r="Q358" s="33"/>
      <c r="R358" s="34"/>
      <c r="S358" s="33"/>
    </row>
    <row r="359" customFormat="false" ht="15" hidden="false" customHeight="false" outlineLevel="0" collapsed="false">
      <c r="A359" s="35"/>
      <c r="B359" s="36" t="str">
        <f aca="false">IF(A359="","",YEAR(A359)&amp;"-"&amp;TEXT(MONTH(A359),"00"))</f>
        <v/>
      </c>
      <c r="C359" s="34"/>
      <c r="D359" s="2"/>
      <c r="E359" s="35"/>
      <c r="F359" s="33"/>
      <c r="G359" s="34"/>
      <c r="H359" s="2"/>
      <c r="I359" s="2"/>
      <c r="J359" s="2"/>
      <c r="K359" s="2"/>
      <c r="L359" s="2"/>
      <c r="M359" s="2"/>
      <c r="N359" s="2"/>
      <c r="O359" s="2"/>
      <c r="P359" s="2"/>
      <c r="Q359" s="33"/>
      <c r="R359" s="34"/>
      <c r="S359" s="33"/>
    </row>
    <row r="360" customFormat="false" ht="15" hidden="false" customHeight="false" outlineLevel="0" collapsed="false">
      <c r="A360" s="35"/>
      <c r="B360" s="36" t="str">
        <f aca="false">IF(A360="","",YEAR(A360)&amp;"-"&amp;TEXT(MONTH(A360),"00"))</f>
        <v/>
      </c>
      <c r="C360" s="34"/>
      <c r="D360" s="2"/>
      <c r="E360" s="35"/>
      <c r="F360" s="33"/>
      <c r="G360" s="34"/>
      <c r="H360" s="2"/>
      <c r="I360" s="2"/>
      <c r="J360" s="2"/>
      <c r="K360" s="2"/>
      <c r="L360" s="2"/>
      <c r="M360" s="2"/>
      <c r="N360" s="2"/>
      <c r="O360" s="2"/>
      <c r="P360" s="2"/>
      <c r="Q360" s="33"/>
      <c r="R360" s="34"/>
      <c r="S360" s="33"/>
    </row>
    <row r="361" customFormat="false" ht="15" hidden="false" customHeight="false" outlineLevel="0" collapsed="false">
      <c r="A361" s="35"/>
      <c r="B361" s="36" t="str">
        <f aca="false">IF(A361="","",YEAR(A361)&amp;"-"&amp;TEXT(MONTH(A361),"00"))</f>
        <v/>
      </c>
      <c r="C361" s="34"/>
      <c r="D361" s="2"/>
      <c r="E361" s="35"/>
      <c r="F361" s="33"/>
      <c r="G361" s="34"/>
      <c r="H361" s="2"/>
      <c r="I361" s="2"/>
      <c r="J361" s="2"/>
      <c r="K361" s="2"/>
      <c r="L361" s="2"/>
      <c r="M361" s="2"/>
      <c r="N361" s="2"/>
      <c r="O361" s="2"/>
      <c r="P361" s="2"/>
      <c r="Q361" s="33"/>
      <c r="R361" s="34"/>
      <c r="S361" s="33"/>
    </row>
    <row r="362" customFormat="false" ht="15" hidden="false" customHeight="false" outlineLevel="0" collapsed="false">
      <c r="A362" s="35"/>
      <c r="B362" s="36" t="str">
        <f aca="false">IF(A362="","",YEAR(A362)&amp;"-"&amp;TEXT(MONTH(A362),"00"))</f>
        <v/>
      </c>
      <c r="C362" s="34"/>
      <c r="D362" s="2"/>
      <c r="E362" s="35"/>
      <c r="F362" s="33"/>
      <c r="G362" s="34"/>
      <c r="H362" s="2"/>
      <c r="I362" s="2"/>
      <c r="J362" s="2"/>
      <c r="K362" s="2"/>
      <c r="L362" s="2"/>
      <c r="M362" s="2"/>
      <c r="N362" s="2"/>
      <c r="O362" s="2"/>
      <c r="P362" s="2"/>
      <c r="Q362" s="33"/>
      <c r="R362" s="34"/>
      <c r="S362" s="33"/>
    </row>
    <row r="363" customFormat="false" ht="15" hidden="false" customHeight="false" outlineLevel="0" collapsed="false">
      <c r="A363" s="35"/>
      <c r="B363" s="36" t="str">
        <f aca="false">IF(A363="","",YEAR(A363)&amp;"-"&amp;TEXT(MONTH(A363),"00"))</f>
        <v/>
      </c>
      <c r="C363" s="34"/>
      <c r="D363" s="2"/>
      <c r="E363" s="35"/>
      <c r="F363" s="33"/>
      <c r="G363" s="34"/>
      <c r="H363" s="2"/>
      <c r="I363" s="2"/>
      <c r="J363" s="2"/>
      <c r="K363" s="2"/>
      <c r="L363" s="2"/>
      <c r="M363" s="2"/>
      <c r="N363" s="2"/>
      <c r="O363" s="2"/>
      <c r="P363" s="2"/>
      <c r="Q363" s="33"/>
      <c r="R363" s="34"/>
      <c r="S363" s="33"/>
    </row>
    <row r="364" customFormat="false" ht="15" hidden="false" customHeight="false" outlineLevel="0" collapsed="false">
      <c r="A364" s="35"/>
      <c r="B364" s="36" t="str">
        <f aca="false">IF(A364="","",YEAR(A364)&amp;"-"&amp;TEXT(MONTH(A364),"00"))</f>
        <v/>
      </c>
      <c r="C364" s="34"/>
      <c r="D364" s="2"/>
      <c r="E364" s="35"/>
      <c r="F364" s="33"/>
      <c r="G364" s="34"/>
      <c r="H364" s="2"/>
      <c r="I364" s="2"/>
      <c r="J364" s="2"/>
      <c r="K364" s="2"/>
      <c r="L364" s="2"/>
      <c r="M364" s="2"/>
      <c r="N364" s="2"/>
      <c r="O364" s="2"/>
      <c r="P364" s="2"/>
      <c r="Q364" s="33"/>
      <c r="R364" s="34"/>
      <c r="S364" s="33"/>
    </row>
    <row r="365" customFormat="false" ht="15" hidden="false" customHeight="false" outlineLevel="0" collapsed="false">
      <c r="A365" s="35"/>
      <c r="B365" s="36" t="str">
        <f aca="false">IF(A365="","",YEAR(A365)&amp;"-"&amp;TEXT(MONTH(A365),"00"))</f>
        <v/>
      </c>
      <c r="C365" s="34"/>
      <c r="D365" s="2"/>
      <c r="E365" s="35"/>
      <c r="F365" s="33"/>
      <c r="G365" s="34"/>
      <c r="H365" s="2"/>
      <c r="I365" s="2"/>
      <c r="J365" s="2"/>
      <c r="K365" s="2"/>
      <c r="L365" s="2"/>
      <c r="M365" s="2"/>
      <c r="N365" s="2"/>
      <c r="O365" s="2"/>
      <c r="P365" s="2"/>
      <c r="Q365" s="33"/>
      <c r="R365" s="34"/>
      <c r="S365" s="33"/>
    </row>
    <row r="366" customFormat="false" ht="15" hidden="false" customHeight="false" outlineLevel="0" collapsed="false">
      <c r="A366" s="35"/>
      <c r="B366" s="36" t="str">
        <f aca="false">IF(A366="","",YEAR(A366)&amp;"-"&amp;TEXT(MONTH(A366),"00"))</f>
        <v/>
      </c>
      <c r="C366" s="34"/>
      <c r="D366" s="2"/>
      <c r="E366" s="35"/>
      <c r="F366" s="33"/>
      <c r="G366" s="34"/>
      <c r="H366" s="2"/>
      <c r="I366" s="2"/>
      <c r="J366" s="2"/>
      <c r="K366" s="2"/>
      <c r="L366" s="2"/>
      <c r="M366" s="2"/>
      <c r="N366" s="2"/>
      <c r="O366" s="2"/>
      <c r="P366" s="2"/>
      <c r="Q366" s="33"/>
      <c r="R366" s="34"/>
      <c r="S366" s="33"/>
    </row>
    <row r="367" customFormat="false" ht="15" hidden="false" customHeight="false" outlineLevel="0" collapsed="false">
      <c r="A367" s="35"/>
      <c r="B367" s="36" t="str">
        <f aca="false">IF(A367="","",YEAR(A367)&amp;"-"&amp;TEXT(MONTH(A367),"00"))</f>
        <v/>
      </c>
      <c r="C367" s="34"/>
      <c r="D367" s="2"/>
      <c r="E367" s="35"/>
      <c r="F367" s="33"/>
      <c r="G367" s="34"/>
      <c r="H367" s="2"/>
      <c r="I367" s="2"/>
      <c r="J367" s="2"/>
      <c r="K367" s="2"/>
      <c r="L367" s="2"/>
      <c r="M367" s="2"/>
      <c r="N367" s="2"/>
      <c r="O367" s="2"/>
      <c r="P367" s="2"/>
      <c r="Q367" s="33"/>
      <c r="R367" s="34"/>
      <c r="S367" s="33"/>
    </row>
    <row r="368" customFormat="false" ht="15" hidden="false" customHeight="false" outlineLevel="0" collapsed="false">
      <c r="A368" s="35"/>
      <c r="B368" s="36" t="str">
        <f aca="false">IF(A368="","",YEAR(A368)&amp;"-"&amp;TEXT(MONTH(A368),"00"))</f>
        <v/>
      </c>
      <c r="C368" s="34"/>
      <c r="D368" s="2"/>
      <c r="E368" s="35"/>
      <c r="F368" s="33"/>
      <c r="G368" s="34"/>
      <c r="H368" s="2"/>
      <c r="I368" s="2"/>
      <c r="J368" s="2"/>
      <c r="K368" s="2"/>
      <c r="L368" s="2"/>
      <c r="M368" s="2"/>
      <c r="N368" s="2"/>
      <c r="O368" s="2"/>
      <c r="P368" s="2"/>
      <c r="Q368" s="33"/>
      <c r="R368" s="34"/>
      <c r="S368" s="33"/>
    </row>
    <row r="369" customFormat="false" ht="15" hidden="false" customHeight="false" outlineLevel="0" collapsed="false">
      <c r="A369" s="35"/>
      <c r="B369" s="36" t="str">
        <f aca="false">IF(A369="","",YEAR(A369)&amp;"-"&amp;TEXT(MONTH(A369),"00"))</f>
        <v/>
      </c>
      <c r="C369" s="34"/>
      <c r="D369" s="2"/>
      <c r="E369" s="35"/>
      <c r="F369" s="33"/>
      <c r="G369" s="34"/>
      <c r="H369" s="2"/>
      <c r="I369" s="2"/>
      <c r="J369" s="2"/>
      <c r="K369" s="2"/>
      <c r="L369" s="2"/>
      <c r="M369" s="2"/>
      <c r="N369" s="2"/>
      <c r="O369" s="2"/>
      <c r="P369" s="2"/>
      <c r="Q369" s="33"/>
      <c r="R369" s="34"/>
      <c r="S369" s="33"/>
    </row>
    <row r="370" customFormat="false" ht="15" hidden="false" customHeight="false" outlineLevel="0" collapsed="false">
      <c r="A370" s="35"/>
      <c r="B370" s="36" t="str">
        <f aca="false">IF(A370="","",YEAR(A370)&amp;"-"&amp;TEXT(MONTH(A370),"00"))</f>
        <v/>
      </c>
      <c r="C370" s="34"/>
      <c r="D370" s="2"/>
      <c r="E370" s="35"/>
      <c r="F370" s="33"/>
      <c r="G370" s="34"/>
      <c r="H370" s="2"/>
      <c r="I370" s="2"/>
      <c r="J370" s="2"/>
      <c r="K370" s="2"/>
      <c r="L370" s="2"/>
      <c r="M370" s="2"/>
      <c r="N370" s="2"/>
      <c r="O370" s="2"/>
      <c r="P370" s="2"/>
      <c r="Q370" s="33"/>
      <c r="R370" s="34"/>
      <c r="S370" s="33"/>
    </row>
    <row r="371" customFormat="false" ht="15" hidden="false" customHeight="false" outlineLevel="0" collapsed="false">
      <c r="A371" s="35"/>
      <c r="B371" s="36" t="str">
        <f aca="false">IF(A371="","",YEAR(A371)&amp;"-"&amp;TEXT(MONTH(A371),"00"))</f>
        <v/>
      </c>
      <c r="C371" s="34"/>
      <c r="D371" s="2"/>
      <c r="E371" s="35"/>
      <c r="F371" s="33"/>
      <c r="G371" s="34"/>
      <c r="H371" s="2"/>
      <c r="I371" s="2"/>
      <c r="J371" s="2"/>
      <c r="K371" s="2"/>
      <c r="L371" s="2"/>
      <c r="M371" s="2"/>
      <c r="N371" s="2"/>
      <c r="O371" s="2"/>
      <c r="P371" s="2"/>
      <c r="Q371" s="33"/>
      <c r="R371" s="34"/>
      <c r="S371" s="33"/>
    </row>
    <row r="372" customFormat="false" ht="15" hidden="false" customHeight="false" outlineLevel="0" collapsed="false">
      <c r="A372" s="35"/>
      <c r="B372" s="36" t="str">
        <f aca="false">IF(A372="","",YEAR(A372)&amp;"-"&amp;TEXT(MONTH(A372),"00"))</f>
        <v/>
      </c>
      <c r="C372" s="34"/>
      <c r="D372" s="2"/>
      <c r="E372" s="35"/>
      <c r="F372" s="33"/>
      <c r="G372" s="34"/>
      <c r="H372" s="2"/>
      <c r="I372" s="2"/>
      <c r="J372" s="2"/>
      <c r="K372" s="2"/>
      <c r="L372" s="2"/>
      <c r="M372" s="2"/>
      <c r="N372" s="2"/>
      <c r="O372" s="2"/>
      <c r="P372" s="2"/>
      <c r="Q372" s="33"/>
      <c r="R372" s="34"/>
      <c r="S372" s="33"/>
    </row>
    <row r="373" customFormat="false" ht="15" hidden="false" customHeight="false" outlineLevel="0" collapsed="false">
      <c r="A373" s="35"/>
      <c r="B373" s="36" t="str">
        <f aca="false">IF(A373="","",YEAR(A373)&amp;"-"&amp;TEXT(MONTH(A373),"00"))</f>
        <v/>
      </c>
      <c r="C373" s="34"/>
      <c r="D373" s="2"/>
      <c r="E373" s="35"/>
      <c r="F373" s="33"/>
      <c r="G373" s="34"/>
      <c r="H373" s="2"/>
      <c r="I373" s="2"/>
      <c r="J373" s="2"/>
      <c r="K373" s="2"/>
      <c r="L373" s="2"/>
      <c r="M373" s="2"/>
      <c r="N373" s="2"/>
      <c r="O373" s="2"/>
      <c r="P373" s="2"/>
      <c r="Q373" s="33"/>
      <c r="R373" s="34"/>
      <c r="S373" s="33"/>
    </row>
    <row r="374" customFormat="false" ht="15" hidden="false" customHeight="false" outlineLevel="0" collapsed="false">
      <c r="A374" s="35"/>
      <c r="B374" s="36" t="str">
        <f aca="false">IF(A374="","",YEAR(A374)&amp;"-"&amp;TEXT(MONTH(A374),"00"))</f>
        <v/>
      </c>
      <c r="C374" s="34"/>
      <c r="D374" s="2"/>
      <c r="E374" s="35"/>
      <c r="F374" s="33"/>
      <c r="G374" s="34"/>
      <c r="H374" s="2"/>
      <c r="I374" s="2"/>
      <c r="J374" s="2"/>
      <c r="K374" s="2"/>
      <c r="L374" s="2"/>
      <c r="M374" s="2"/>
      <c r="N374" s="2"/>
      <c r="O374" s="2"/>
      <c r="P374" s="2"/>
      <c r="Q374" s="33"/>
      <c r="R374" s="34"/>
      <c r="S374" s="33"/>
    </row>
    <row r="375" customFormat="false" ht="15" hidden="false" customHeight="false" outlineLevel="0" collapsed="false">
      <c r="A375" s="35"/>
      <c r="B375" s="36" t="str">
        <f aca="false">IF(A375="","",YEAR(A375)&amp;"-"&amp;TEXT(MONTH(A375),"00"))</f>
        <v/>
      </c>
      <c r="C375" s="34"/>
      <c r="D375" s="2"/>
      <c r="E375" s="35"/>
      <c r="F375" s="33"/>
      <c r="G375" s="34"/>
      <c r="H375" s="2"/>
      <c r="I375" s="2"/>
      <c r="J375" s="2"/>
      <c r="K375" s="2"/>
      <c r="L375" s="2"/>
      <c r="M375" s="2"/>
      <c r="N375" s="2"/>
      <c r="O375" s="2"/>
      <c r="P375" s="2"/>
      <c r="Q375" s="33"/>
      <c r="R375" s="34"/>
      <c r="S375" s="33"/>
    </row>
    <row r="376" customFormat="false" ht="15" hidden="false" customHeight="false" outlineLevel="0" collapsed="false">
      <c r="A376" s="35"/>
      <c r="B376" s="36" t="str">
        <f aca="false">IF(A376="","",YEAR(A376)&amp;"-"&amp;TEXT(MONTH(A376),"00"))</f>
        <v/>
      </c>
      <c r="C376" s="34"/>
      <c r="D376" s="2"/>
      <c r="E376" s="35"/>
      <c r="F376" s="33"/>
      <c r="G376" s="34"/>
      <c r="H376" s="2"/>
      <c r="I376" s="2"/>
      <c r="J376" s="2"/>
      <c r="K376" s="2"/>
      <c r="L376" s="2"/>
      <c r="M376" s="2"/>
      <c r="N376" s="2"/>
      <c r="O376" s="2"/>
      <c r="P376" s="2"/>
      <c r="Q376" s="33"/>
      <c r="R376" s="34"/>
      <c r="S376" s="33"/>
    </row>
    <row r="377" customFormat="false" ht="15" hidden="false" customHeight="false" outlineLevel="0" collapsed="false">
      <c r="A377" s="35"/>
      <c r="B377" s="36" t="str">
        <f aca="false">IF(A377="","",YEAR(A377)&amp;"-"&amp;TEXT(MONTH(A377),"00"))</f>
        <v/>
      </c>
      <c r="C377" s="34"/>
      <c r="D377" s="2"/>
      <c r="E377" s="35"/>
      <c r="F377" s="33"/>
      <c r="G377" s="34"/>
      <c r="H377" s="2"/>
      <c r="I377" s="2"/>
      <c r="J377" s="2"/>
      <c r="K377" s="2"/>
      <c r="L377" s="2"/>
      <c r="M377" s="2"/>
      <c r="N377" s="2"/>
      <c r="O377" s="2"/>
      <c r="P377" s="2"/>
      <c r="Q377" s="33"/>
      <c r="R377" s="34"/>
      <c r="S377" s="33"/>
    </row>
    <row r="378" customFormat="false" ht="15" hidden="false" customHeight="false" outlineLevel="0" collapsed="false">
      <c r="A378" s="35"/>
      <c r="B378" s="36" t="str">
        <f aca="false">IF(A378="","",YEAR(A378)&amp;"-"&amp;TEXT(MONTH(A378),"00"))</f>
        <v/>
      </c>
      <c r="C378" s="34"/>
      <c r="D378" s="2"/>
      <c r="E378" s="35"/>
      <c r="F378" s="33"/>
      <c r="G378" s="34"/>
      <c r="H378" s="2"/>
      <c r="I378" s="2"/>
      <c r="J378" s="2"/>
      <c r="K378" s="2"/>
      <c r="L378" s="2"/>
      <c r="M378" s="2"/>
      <c r="N378" s="2"/>
      <c r="O378" s="2"/>
      <c r="P378" s="2"/>
      <c r="Q378" s="33"/>
      <c r="R378" s="34"/>
      <c r="S378" s="33"/>
    </row>
    <row r="379" customFormat="false" ht="15" hidden="false" customHeight="false" outlineLevel="0" collapsed="false">
      <c r="A379" s="35"/>
      <c r="B379" s="36" t="str">
        <f aca="false">IF(A379="","",YEAR(A379)&amp;"-"&amp;TEXT(MONTH(A379),"00"))</f>
        <v/>
      </c>
      <c r="C379" s="34"/>
      <c r="D379" s="2"/>
      <c r="E379" s="35"/>
      <c r="F379" s="33"/>
      <c r="G379" s="34"/>
      <c r="H379" s="2"/>
      <c r="I379" s="2"/>
      <c r="J379" s="2"/>
      <c r="K379" s="2"/>
      <c r="L379" s="2"/>
      <c r="M379" s="2"/>
      <c r="N379" s="2"/>
      <c r="O379" s="2"/>
      <c r="P379" s="2"/>
      <c r="Q379" s="33"/>
      <c r="R379" s="34"/>
      <c r="S379" s="33"/>
    </row>
    <row r="380" customFormat="false" ht="15" hidden="false" customHeight="false" outlineLevel="0" collapsed="false">
      <c r="A380" s="35"/>
      <c r="B380" s="36" t="str">
        <f aca="false">IF(A380="","",YEAR(A380)&amp;"-"&amp;TEXT(MONTH(A380),"00"))</f>
        <v/>
      </c>
      <c r="C380" s="34"/>
      <c r="D380" s="2"/>
      <c r="E380" s="35"/>
      <c r="F380" s="33"/>
      <c r="G380" s="34"/>
      <c r="H380" s="2"/>
      <c r="I380" s="2"/>
      <c r="J380" s="2"/>
      <c r="K380" s="2"/>
      <c r="L380" s="2"/>
      <c r="M380" s="2"/>
      <c r="N380" s="2"/>
      <c r="O380" s="2"/>
      <c r="P380" s="2"/>
      <c r="Q380" s="33"/>
      <c r="R380" s="34"/>
      <c r="S380" s="33"/>
    </row>
    <row r="381" customFormat="false" ht="15" hidden="false" customHeight="false" outlineLevel="0" collapsed="false">
      <c r="A381" s="35"/>
      <c r="B381" s="36" t="str">
        <f aca="false">IF(A381="","",YEAR(A381)&amp;"-"&amp;TEXT(MONTH(A381),"00"))</f>
        <v/>
      </c>
      <c r="C381" s="34"/>
      <c r="D381" s="2"/>
      <c r="E381" s="35"/>
      <c r="F381" s="33"/>
      <c r="G381" s="34"/>
      <c r="H381" s="2"/>
      <c r="I381" s="2"/>
      <c r="J381" s="2"/>
      <c r="K381" s="2"/>
      <c r="L381" s="2"/>
      <c r="M381" s="2"/>
      <c r="N381" s="2"/>
      <c r="O381" s="2"/>
      <c r="P381" s="2"/>
      <c r="Q381" s="33"/>
      <c r="R381" s="34"/>
      <c r="S381" s="33"/>
    </row>
    <row r="382" customFormat="false" ht="15" hidden="false" customHeight="false" outlineLevel="0" collapsed="false">
      <c r="A382" s="35"/>
      <c r="B382" s="36" t="str">
        <f aca="false">IF(A382="","",YEAR(A382)&amp;"-"&amp;TEXT(MONTH(A382),"00"))</f>
        <v/>
      </c>
      <c r="C382" s="34"/>
      <c r="D382" s="2"/>
      <c r="E382" s="35"/>
      <c r="F382" s="33"/>
      <c r="G382" s="34"/>
      <c r="H382" s="2"/>
      <c r="I382" s="2"/>
      <c r="J382" s="2"/>
      <c r="K382" s="2"/>
      <c r="L382" s="2"/>
      <c r="M382" s="2"/>
      <c r="N382" s="2"/>
      <c r="O382" s="2"/>
      <c r="P382" s="2"/>
      <c r="Q382" s="33"/>
      <c r="R382" s="34"/>
      <c r="S382" s="33"/>
    </row>
    <row r="383" customFormat="false" ht="15" hidden="false" customHeight="false" outlineLevel="0" collapsed="false">
      <c r="A383" s="35"/>
      <c r="B383" s="36" t="str">
        <f aca="false">IF(A383="","",YEAR(A383)&amp;"-"&amp;TEXT(MONTH(A383),"00"))</f>
        <v/>
      </c>
      <c r="C383" s="34"/>
      <c r="D383" s="2"/>
      <c r="E383" s="35"/>
      <c r="F383" s="33"/>
      <c r="G383" s="34"/>
      <c r="H383" s="2"/>
      <c r="I383" s="2"/>
      <c r="J383" s="2"/>
      <c r="K383" s="2"/>
      <c r="L383" s="2"/>
      <c r="M383" s="2"/>
      <c r="N383" s="2"/>
      <c r="O383" s="2"/>
      <c r="P383" s="2"/>
      <c r="Q383" s="33"/>
      <c r="R383" s="34"/>
      <c r="S383" s="33"/>
    </row>
    <row r="384" customFormat="false" ht="15" hidden="false" customHeight="false" outlineLevel="0" collapsed="false">
      <c r="A384" s="35"/>
      <c r="B384" s="36" t="str">
        <f aca="false">IF(A384="","",YEAR(A384)&amp;"-"&amp;TEXT(MONTH(A384),"00"))</f>
        <v/>
      </c>
      <c r="C384" s="34"/>
      <c r="D384" s="2"/>
      <c r="E384" s="35"/>
      <c r="F384" s="33"/>
      <c r="G384" s="34"/>
      <c r="H384" s="2"/>
      <c r="I384" s="2"/>
      <c r="J384" s="2"/>
      <c r="K384" s="2"/>
      <c r="L384" s="2"/>
      <c r="M384" s="2"/>
      <c r="N384" s="2"/>
      <c r="O384" s="2"/>
      <c r="P384" s="2"/>
      <c r="Q384" s="33"/>
      <c r="R384" s="34"/>
      <c r="S384" s="33"/>
    </row>
    <row r="385" customFormat="false" ht="15" hidden="false" customHeight="false" outlineLevel="0" collapsed="false">
      <c r="A385" s="35"/>
      <c r="B385" s="36" t="str">
        <f aca="false">IF(A385="","",YEAR(A385)&amp;"-"&amp;TEXT(MONTH(A385),"00"))</f>
        <v/>
      </c>
      <c r="C385" s="34"/>
      <c r="D385" s="2"/>
      <c r="E385" s="35"/>
      <c r="F385" s="33"/>
      <c r="G385" s="34"/>
      <c r="H385" s="2"/>
      <c r="I385" s="2"/>
      <c r="J385" s="2"/>
      <c r="K385" s="2"/>
      <c r="L385" s="2"/>
      <c r="M385" s="2"/>
      <c r="N385" s="2"/>
      <c r="O385" s="2"/>
      <c r="P385" s="2"/>
      <c r="Q385" s="33"/>
      <c r="R385" s="34"/>
      <c r="S385" s="33"/>
    </row>
    <row r="386" customFormat="false" ht="15" hidden="false" customHeight="false" outlineLevel="0" collapsed="false">
      <c r="A386" s="35"/>
      <c r="B386" s="36" t="str">
        <f aca="false">IF(A386="","",YEAR(A386)&amp;"-"&amp;TEXT(MONTH(A386),"00"))</f>
        <v/>
      </c>
      <c r="C386" s="34"/>
      <c r="D386" s="2"/>
      <c r="E386" s="35"/>
      <c r="F386" s="33"/>
      <c r="G386" s="34"/>
      <c r="H386" s="2"/>
      <c r="I386" s="2"/>
      <c r="J386" s="2"/>
      <c r="K386" s="2"/>
      <c r="L386" s="2"/>
      <c r="M386" s="2"/>
      <c r="N386" s="2"/>
      <c r="O386" s="2"/>
      <c r="P386" s="2"/>
      <c r="Q386" s="33"/>
      <c r="R386" s="34"/>
      <c r="S386" s="33"/>
    </row>
    <row r="387" customFormat="false" ht="15" hidden="false" customHeight="false" outlineLevel="0" collapsed="false">
      <c r="A387" s="35"/>
      <c r="B387" s="36" t="str">
        <f aca="false">IF(A387="","",YEAR(A387)&amp;"-"&amp;TEXT(MONTH(A387),"00"))</f>
        <v/>
      </c>
      <c r="C387" s="34"/>
      <c r="D387" s="2"/>
      <c r="E387" s="35"/>
      <c r="F387" s="33"/>
      <c r="G387" s="34"/>
      <c r="H387" s="2"/>
      <c r="I387" s="2"/>
      <c r="J387" s="2"/>
      <c r="K387" s="2"/>
      <c r="L387" s="2"/>
      <c r="M387" s="2"/>
      <c r="N387" s="2"/>
      <c r="O387" s="2"/>
      <c r="P387" s="2"/>
      <c r="Q387" s="33"/>
      <c r="R387" s="34"/>
      <c r="S387" s="33"/>
    </row>
    <row r="388" customFormat="false" ht="15" hidden="false" customHeight="false" outlineLevel="0" collapsed="false">
      <c r="A388" s="35"/>
      <c r="B388" s="36" t="str">
        <f aca="false">IF(A388="","",YEAR(A388)&amp;"-"&amp;TEXT(MONTH(A388),"00"))</f>
        <v/>
      </c>
      <c r="C388" s="34"/>
      <c r="D388" s="2"/>
      <c r="E388" s="35"/>
      <c r="F388" s="33"/>
      <c r="G388" s="34"/>
      <c r="H388" s="2"/>
      <c r="I388" s="2"/>
      <c r="J388" s="2"/>
      <c r="K388" s="2"/>
      <c r="L388" s="2"/>
      <c r="M388" s="2"/>
      <c r="N388" s="2"/>
      <c r="O388" s="2"/>
      <c r="P388" s="2"/>
      <c r="Q388" s="33"/>
      <c r="R388" s="34"/>
      <c r="S388" s="33"/>
    </row>
    <row r="389" customFormat="false" ht="15" hidden="false" customHeight="false" outlineLevel="0" collapsed="false">
      <c r="A389" s="35"/>
      <c r="B389" s="36" t="str">
        <f aca="false">IF(A389="","",YEAR(A389)&amp;"-"&amp;TEXT(MONTH(A389),"00"))</f>
        <v/>
      </c>
      <c r="C389" s="34"/>
      <c r="D389" s="2"/>
      <c r="E389" s="35"/>
      <c r="F389" s="33"/>
      <c r="G389" s="34"/>
      <c r="H389" s="2"/>
      <c r="I389" s="2"/>
      <c r="J389" s="2"/>
      <c r="K389" s="2"/>
      <c r="L389" s="2"/>
      <c r="M389" s="2"/>
      <c r="N389" s="2"/>
      <c r="O389" s="2"/>
      <c r="P389" s="2"/>
      <c r="Q389" s="33"/>
      <c r="R389" s="34"/>
      <c r="S389" s="33"/>
    </row>
    <row r="390" customFormat="false" ht="15" hidden="false" customHeight="false" outlineLevel="0" collapsed="false">
      <c r="A390" s="35"/>
      <c r="B390" s="36" t="str">
        <f aca="false">IF(A390="","",YEAR(A390)&amp;"-"&amp;TEXT(MONTH(A390),"00"))</f>
        <v/>
      </c>
      <c r="C390" s="34"/>
      <c r="D390" s="2"/>
      <c r="E390" s="35"/>
      <c r="F390" s="33"/>
      <c r="G390" s="34"/>
      <c r="H390" s="2"/>
      <c r="I390" s="2"/>
      <c r="J390" s="2"/>
      <c r="K390" s="2"/>
      <c r="L390" s="2"/>
      <c r="M390" s="2"/>
      <c r="N390" s="2"/>
      <c r="O390" s="2"/>
      <c r="P390" s="2"/>
      <c r="Q390" s="33"/>
      <c r="R390" s="34"/>
      <c r="S390" s="33"/>
    </row>
    <row r="391" customFormat="false" ht="15" hidden="false" customHeight="false" outlineLevel="0" collapsed="false">
      <c r="A391" s="35"/>
      <c r="B391" s="36" t="str">
        <f aca="false">IF(A391="","",YEAR(A391)&amp;"-"&amp;TEXT(MONTH(A391),"00"))</f>
        <v/>
      </c>
      <c r="C391" s="34"/>
      <c r="D391" s="2"/>
      <c r="E391" s="35"/>
      <c r="F391" s="33"/>
      <c r="G391" s="34"/>
      <c r="H391" s="2"/>
      <c r="I391" s="2"/>
      <c r="J391" s="2"/>
      <c r="K391" s="2"/>
      <c r="L391" s="2"/>
      <c r="M391" s="2"/>
      <c r="N391" s="2"/>
      <c r="O391" s="2"/>
      <c r="P391" s="2"/>
      <c r="Q391" s="33"/>
      <c r="R391" s="34"/>
      <c r="S391" s="33"/>
    </row>
    <row r="392" customFormat="false" ht="15" hidden="false" customHeight="false" outlineLevel="0" collapsed="false">
      <c r="A392" s="35"/>
      <c r="B392" s="36" t="str">
        <f aca="false">IF(A392="","",YEAR(A392)&amp;"-"&amp;TEXT(MONTH(A392),"00"))</f>
        <v/>
      </c>
      <c r="C392" s="34"/>
      <c r="D392" s="2"/>
      <c r="E392" s="35"/>
      <c r="F392" s="33"/>
      <c r="G392" s="34"/>
      <c r="H392" s="2"/>
      <c r="I392" s="2"/>
      <c r="J392" s="2"/>
      <c r="K392" s="2"/>
      <c r="L392" s="2"/>
      <c r="M392" s="2"/>
      <c r="N392" s="2"/>
      <c r="O392" s="2"/>
      <c r="P392" s="2"/>
      <c r="Q392" s="33"/>
      <c r="R392" s="34"/>
      <c r="S392" s="33"/>
    </row>
    <row r="393" customFormat="false" ht="15" hidden="false" customHeight="false" outlineLevel="0" collapsed="false">
      <c r="A393" s="35"/>
      <c r="B393" s="36" t="str">
        <f aca="false">IF(A393="","",YEAR(A393)&amp;"-"&amp;TEXT(MONTH(A393),"00"))</f>
        <v/>
      </c>
      <c r="C393" s="34"/>
      <c r="D393" s="2"/>
      <c r="E393" s="35"/>
      <c r="F393" s="33"/>
      <c r="G393" s="34"/>
      <c r="H393" s="2"/>
      <c r="I393" s="2"/>
      <c r="J393" s="2"/>
      <c r="K393" s="2"/>
      <c r="L393" s="2"/>
      <c r="M393" s="2"/>
      <c r="N393" s="2"/>
      <c r="O393" s="2"/>
      <c r="P393" s="2"/>
      <c r="Q393" s="33"/>
      <c r="R393" s="34"/>
      <c r="S393" s="33"/>
    </row>
    <row r="394" customFormat="false" ht="15" hidden="false" customHeight="false" outlineLevel="0" collapsed="false">
      <c r="A394" s="35"/>
      <c r="B394" s="36" t="str">
        <f aca="false">IF(A394="","",YEAR(A394)&amp;"-"&amp;TEXT(MONTH(A394),"00"))</f>
        <v/>
      </c>
      <c r="C394" s="34"/>
      <c r="D394" s="2"/>
      <c r="E394" s="35"/>
      <c r="F394" s="33"/>
      <c r="G394" s="34"/>
      <c r="H394" s="2"/>
      <c r="I394" s="2"/>
      <c r="J394" s="2"/>
      <c r="K394" s="2"/>
      <c r="L394" s="2"/>
      <c r="M394" s="2"/>
      <c r="N394" s="2"/>
      <c r="O394" s="2"/>
      <c r="P394" s="2"/>
      <c r="Q394" s="33"/>
      <c r="R394" s="34"/>
      <c r="S394" s="33"/>
    </row>
    <row r="395" customFormat="false" ht="15" hidden="false" customHeight="false" outlineLevel="0" collapsed="false">
      <c r="A395" s="35"/>
      <c r="B395" s="36" t="str">
        <f aca="false">IF(A395="","",YEAR(A395)&amp;"-"&amp;TEXT(MONTH(A395),"00"))</f>
        <v/>
      </c>
      <c r="C395" s="34"/>
      <c r="D395" s="2"/>
      <c r="E395" s="35"/>
      <c r="F395" s="33"/>
      <c r="G395" s="34"/>
      <c r="H395" s="2"/>
      <c r="I395" s="2"/>
      <c r="J395" s="2"/>
      <c r="K395" s="2"/>
      <c r="L395" s="2"/>
      <c r="M395" s="2"/>
      <c r="N395" s="2"/>
      <c r="O395" s="2"/>
      <c r="P395" s="2"/>
      <c r="Q395" s="33"/>
      <c r="R395" s="34"/>
      <c r="S395" s="33"/>
    </row>
    <row r="396" customFormat="false" ht="15" hidden="false" customHeight="false" outlineLevel="0" collapsed="false">
      <c r="A396" s="35"/>
      <c r="B396" s="36" t="str">
        <f aca="false">IF(A396="","",YEAR(A396)&amp;"-"&amp;TEXT(MONTH(A396),"00"))</f>
        <v/>
      </c>
      <c r="C396" s="34"/>
      <c r="D396" s="2"/>
      <c r="E396" s="35"/>
      <c r="F396" s="33"/>
      <c r="G396" s="34"/>
      <c r="H396" s="2"/>
      <c r="I396" s="2"/>
      <c r="J396" s="2"/>
      <c r="K396" s="2"/>
      <c r="L396" s="2"/>
      <c r="M396" s="2"/>
      <c r="N396" s="2"/>
      <c r="O396" s="2"/>
      <c r="P396" s="2"/>
      <c r="Q396" s="33"/>
      <c r="R396" s="34"/>
      <c r="S396" s="33"/>
    </row>
    <row r="397" customFormat="false" ht="15" hidden="false" customHeight="false" outlineLevel="0" collapsed="false">
      <c r="A397" s="35"/>
      <c r="B397" s="36" t="str">
        <f aca="false">IF(A397="","",YEAR(A397)&amp;"-"&amp;TEXT(MONTH(A397),"00"))</f>
        <v/>
      </c>
      <c r="C397" s="34"/>
      <c r="D397" s="2"/>
      <c r="E397" s="35"/>
      <c r="F397" s="33"/>
      <c r="G397" s="34"/>
      <c r="H397" s="2"/>
      <c r="I397" s="2"/>
      <c r="J397" s="2"/>
      <c r="K397" s="2"/>
      <c r="L397" s="2"/>
      <c r="M397" s="2"/>
      <c r="N397" s="2"/>
      <c r="O397" s="2"/>
      <c r="P397" s="2"/>
      <c r="Q397" s="33"/>
      <c r="R397" s="34"/>
      <c r="S397" s="33"/>
    </row>
    <row r="398" customFormat="false" ht="15" hidden="false" customHeight="false" outlineLevel="0" collapsed="false">
      <c r="A398" s="35"/>
      <c r="B398" s="36" t="str">
        <f aca="false">IF(A398="","",YEAR(A398)&amp;"-"&amp;TEXT(MONTH(A398),"00"))</f>
        <v/>
      </c>
      <c r="C398" s="34"/>
      <c r="D398" s="2"/>
      <c r="E398" s="35"/>
      <c r="F398" s="33"/>
      <c r="G398" s="34"/>
      <c r="H398" s="2"/>
      <c r="I398" s="2"/>
      <c r="J398" s="2"/>
      <c r="K398" s="2"/>
      <c r="L398" s="2"/>
      <c r="M398" s="2"/>
      <c r="N398" s="2"/>
      <c r="O398" s="2"/>
      <c r="P398" s="2"/>
      <c r="Q398" s="33"/>
      <c r="R398" s="34"/>
      <c r="S398" s="33"/>
    </row>
    <row r="399" customFormat="false" ht="15" hidden="false" customHeight="false" outlineLevel="0" collapsed="false">
      <c r="A399" s="35"/>
      <c r="B399" s="36" t="str">
        <f aca="false">IF(A399="","",YEAR(A399)&amp;"-"&amp;TEXT(MONTH(A399),"00"))</f>
        <v/>
      </c>
      <c r="C399" s="34"/>
      <c r="D399" s="2"/>
      <c r="E399" s="35"/>
      <c r="F399" s="33"/>
      <c r="G399" s="34"/>
      <c r="H399" s="2"/>
      <c r="I399" s="2"/>
      <c r="J399" s="2"/>
      <c r="K399" s="2"/>
      <c r="L399" s="2"/>
      <c r="M399" s="2"/>
      <c r="N399" s="2"/>
      <c r="O399" s="2"/>
      <c r="P399" s="2"/>
      <c r="Q399" s="33"/>
      <c r="R399" s="34"/>
      <c r="S399" s="33"/>
    </row>
    <row r="400" customFormat="false" ht="15" hidden="false" customHeight="false" outlineLevel="0" collapsed="false">
      <c r="A400" s="35"/>
      <c r="B400" s="36" t="str">
        <f aca="false">IF(A400="","",YEAR(A400)&amp;"-"&amp;TEXT(MONTH(A400),"00"))</f>
        <v/>
      </c>
      <c r="C400" s="34"/>
      <c r="D400" s="2"/>
      <c r="E400" s="35"/>
      <c r="F400" s="33"/>
      <c r="G400" s="34"/>
      <c r="H400" s="2"/>
      <c r="I400" s="2"/>
      <c r="J400" s="2"/>
      <c r="K400" s="2"/>
      <c r="L400" s="2"/>
      <c r="M400" s="2"/>
      <c r="N400" s="2"/>
      <c r="O400" s="2"/>
      <c r="P400" s="2"/>
      <c r="Q400" s="33"/>
      <c r="R400" s="34"/>
      <c r="S400" s="33"/>
    </row>
    <row r="401" customFormat="false" ht="15" hidden="false" customHeight="false" outlineLevel="0" collapsed="false">
      <c r="A401" s="35"/>
      <c r="B401" s="36" t="str">
        <f aca="false">IF(A401="","",YEAR(A401)&amp;"-"&amp;TEXT(MONTH(A401),"00"))</f>
        <v/>
      </c>
      <c r="C401" s="34"/>
      <c r="D401" s="2"/>
      <c r="E401" s="35"/>
      <c r="F401" s="33"/>
      <c r="G401" s="34"/>
      <c r="H401" s="2"/>
      <c r="I401" s="2"/>
      <c r="J401" s="2"/>
      <c r="K401" s="2"/>
      <c r="L401" s="2"/>
      <c r="M401" s="2"/>
      <c r="N401" s="2"/>
      <c r="O401" s="2"/>
      <c r="P401" s="2"/>
      <c r="Q401" s="33"/>
      <c r="R401" s="34"/>
      <c r="S401" s="33"/>
    </row>
    <row r="402" customFormat="false" ht="15" hidden="false" customHeight="false" outlineLevel="0" collapsed="false">
      <c r="A402" s="35"/>
      <c r="B402" s="36" t="str">
        <f aca="false">IF(A402="","",YEAR(A402)&amp;"-"&amp;TEXT(MONTH(A402),"00"))</f>
        <v/>
      </c>
      <c r="C402" s="34"/>
      <c r="D402" s="2"/>
      <c r="E402" s="35"/>
      <c r="F402" s="33"/>
      <c r="G402" s="34"/>
      <c r="H402" s="2"/>
      <c r="I402" s="2"/>
      <c r="J402" s="2"/>
      <c r="K402" s="2"/>
      <c r="L402" s="2"/>
      <c r="M402" s="2"/>
      <c r="N402" s="2"/>
      <c r="O402" s="2"/>
      <c r="P402" s="2"/>
      <c r="Q402" s="33"/>
      <c r="R402" s="34"/>
      <c r="S402" s="33"/>
    </row>
    <row r="403" customFormat="false" ht="15" hidden="false" customHeight="false" outlineLevel="0" collapsed="false">
      <c r="A403" s="35"/>
      <c r="B403" s="36" t="str">
        <f aca="false">IF(A403="","",YEAR(A403)&amp;"-"&amp;TEXT(MONTH(A403),"00"))</f>
        <v/>
      </c>
      <c r="C403" s="34"/>
      <c r="D403" s="2"/>
      <c r="E403" s="35"/>
      <c r="F403" s="33"/>
      <c r="G403" s="34"/>
      <c r="H403" s="2"/>
      <c r="I403" s="2"/>
      <c r="J403" s="2"/>
      <c r="K403" s="2"/>
      <c r="L403" s="2"/>
      <c r="M403" s="2"/>
      <c r="N403" s="2"/>
      <c r="O403" s="2"/>
      <c r="P403" s="2"/>
      <c r="Q403" s="33"/>
      <c r="R403" s="34"/>
      <c r="S403" s="33"/>
    </row>
    <row r="404" customFormat="false" ht="15" hidden="false" customHeight="false" outlineLevel="0" collapsed="false">
      <c r="A404" s="35"/>
      <c r="B404" s="36" t="str">
        <f aca="false">IF(A404="","",YEAR(A404)&amp;"-"&amp;TEXT(MONTH(A404),"00"))</f>
        <v/>
      </c>
      <c r="C404" s="34"/>
      <c r="D404" s="2"/>
      <c r="E404" s="35"/>
      <c r="F404" s="33"/>
      <c r="G404" s="34"/>
      <c r="H404" s="2"/>
      <c r="I404" s="2"/>
      <c r="J404" s="2"/>
      <c r="K404" s="2"/>
      <c r="L404" s="2"/>
      <c r="M404" s="2"/>
      <c r="N404" s="2"/>
      <c r="O404" s="2"/>
      <c r="P404" s="2"/>
      <c r="Q404" s="33"/>
      <c r="R404" s="34"/>
      <c r="S404" s="33"/>
    </row>
    <row r="405" customFormat="false" ht="15" hidden="false" customHeight="false" outlineLevel="0" collapsed="false">
      <c r="A405" s="35"/>
      <c r="B405" s="36" t="str">
        <f aca="false">IF(A405="","",YEAR(A405)&amp;"-"&amp;TEXT(MONTH(A405),"00"))</f>
        <v/>
      </c>
      <c r="C405" s="34"/>
      <c r="D405" s="2"/>
      <c r="E405" s="35"/>
      <c r="F405" s="33"/>
      <c r="G405" s="34"/>
      <c r="H405" s="2"/>
      <c r="I405" s="2"/>
      <c r="J405" s="2"/>
      <c r="K405" s="2"/>
      <c r="L405" s="2"/>
      <c r="M405" s="2"/>
      <c r="N405" s="2"/>
      <c r="O405" s="2"/>
      <c r="P405" s="2"/>
      <c r="Q405" s="33"/>
      <c r="R405" s="34"/>
      <c r="S405" s="33"/>
    </row>
    <row r="406" customFormat="false" ht="15" hidden="false" customHeight="false" outlineLevel="0" collapsed="false">
      <c r="A406" s="35"/>
      <c r="B406" s="36" t="str">
        <f aca="false">IF(A406="","",YEAR(A406)&amp;"-"&amp;TEXT(MONTH(A406),"00"))</f>
        <v/>
      </c>
      <c r="C406" s="34"/>
      <c r="D406" s="2"/>
      <c r="E406" s="35"/>
      <c r="F406" s="33"/>
      <c r="G406" s="34"/>
      <c r="H406" s="2"/>
      <c r="I406" s="2"/>
      <c r="J406" s="2"/>
      <c r="K406" s="2"/>
      <c r="L406" s="2"/>
      <c r="M406" s="2"/>
      <c r="N406" s="2"/>
      <c r="O406" s="2"/>
      <c r="P406" s="2"/>
      <c r="Q406" s="33"/>
      <c r="R406" s="34"/>
      <c r="S406" s="33"/>
    </row>
    <row r="407" customFormat="false" ht="15" hidden="false" customHeight="false" outlineLevel="0" collapsed="false">
      <c r="A407" s="35"/>
      <c r="B407" s="36" t="str">
        <f aca="false">IF(A407="","",YEAR(A407)&amp;"-"&amp;TEXT(MONTH(A407),"00"))</f>
        <v/>
      </c>
      <c r="C407" s="34"/>
      <c r="D407" s="2"/>
      <c r="E407" s="35"/>
      <c r="F407" s="33"/>
      <c r="G407" s="34"/>
      <c r="H407" s="2"/>
      <c r="I407" s="2"/>
      <c r="J407" s="2"/>
      <c r="K407" s="2"/>
      <c r="L407" s="2"/>
      <c r="M407" s="2"/>
      <c r="N407" s="2"/>
      <c r="O407" s="2"/>
      <c r="P407" s="2"/>
      <c r="Q407" s="33"/>
      <c r="R407" s="34"/>
      <c r="S407" s="33"/>
    </row>
    <row r="408" customFormat="false" ht="15" hidden="false" customHeight="false" outlineLevel="0" collapsed="false">
      <c r="A408" s="35"/>
      <c r="B408" s="36" t="str">
        <f aca="false">IF(A408="","",YEAR(A408)&amp;"-"&amp;TEXT(MONTH(A408),"00"))</f>
        <v/>
      </c>
      <c r="C408" s="34"/>
      <c r="D408" s="2"/>
      <c r="E408" s="35"/>
      <c r="F408" s="33"/>
      <c r="G408" s="34"/>
      <c r="H408" s="2"/>
      <c r="I408" s="2"/>
      <c r="J408" s="2"/>
      <c r="K408" s="2"/>
      <c r="L408" s="2"/>
      <c r="M408" s="2"/>
      <c r="N408" s="2"/>
      <c r="O408" s="2"/>
      <c r="P408" s="2"/>
      <c r="Q408" s="33"/>
      <c r="R408" s="34"/>
      <c r="S408" s="33"/>
    </row>
    <row r="409" customFormat="false" ht="15" hidden="false" customHeight="false" outlineLevel="0" collapsed="false">
      <c r="A409" s="35"/>
      <c r="B409" s="36" t="str">
        <f aca="false">IF(A409="","",YEAR(A409)&amp;"-"&amp;TEXT(MONTH(A409),"00"))</f>
        <v/>
      </c>
      <c r="C409" s="34"/>
      <c r="D409" s="2"/>
      <c r="E409" s="35"/>
      <c r="F409" s="33"/>
      <c r="G409" s="34"/>
      <c r="H409" s="2"/>
      <c r="I409" s="2"/>
      <c r="J409" s="2"/>
      <c r="K409" s="2"/>
      <c r="L409" s="2"/>
      <c r="M409" s="2"/>
      <c r="N409" s="2"/>
      <c r="O409" s="2"/>
      <c r="P409" s="2"/>
      <c r="Q409" s="33"/>
      <c r="R409" s="34"/>
      <c r="S409" s="33"/>
    </row>
    <row r="410" customFormat="false" ht="15" hidden="false" customHeight="false" outlineLevel="0" collapsed="false">
      <c r="A410" s="35"/>
      <c r="B410" s="36" t="str">
        <f aca="false">IF(A410="","",YEAR(A410)&amp;"-"&amp;TEXT(MONTH(A410),"00"))</f>
        <v/>
      </c>
      <c r="C410" s="34"/>
      <c r="D410" s="2"/>
      <c r="E410" s="35"/>
      <c r="F410" s="33"/>
      <c r="G410" s="34"/>
      <c r="H410" s="2"/>
      <c r="I410" s="2"/>
      <c r="J410" s="2"/>
      <c r="K410" s="2"/>
      <c r="L410" s="2"/>
      <c r="M410" s="2"/>
      <c r="N410" s="2"/>
      <c r="O410" s="2"/>
      <c r="P410" s="2"/>
      <c r="Q410" s="33"/>
      <c r="R410" s="34"/>
      <c r="S410" s="33"/>
    </row>
    <row r="411" customFormat="false" ht="15" hidden="false" customHeight="false" outlineLevel="0" collapsed="false">
      <c r="A411" s="35"/>
      <c r="B411" s="36" t="str">
        <f aca="false">IF(A411="","",YEAR(A411)&amp;"-"&amp;TEXT(MONTH(A411),"00"))</f>
        <v/>
      </c>
      <c r="C411" s="34"/>
      <c r="D411" s="2"/>
      <c r="E411" s="35"/>
      <c r="F411" s="33"/>
      <c r="G411" s="34"/>
      <c r="H411" s="2"/>
      <c r="I411" s="2"/>
      <c r="J411" s="2"/>
      <c r="K411" s="2"/>
      <c r="L411" s="2"/>
      <c r="M411" s="2"/>
      <c r="N411" s="2"/>
      <c r="O411" s="2"/>
      <c r="P411" s="2"/>
      <c r="Q411" s="33"/>
      <c r="R411" s="34"/>
      <c r="S411" s="33"/>
    </row>
    <row r="412" customFormat="false" ht="15" hidden="false" customHeight="false" outlineLevel="0" collapsed="false">
      <c r="A412" s="35"/>
      <c r="B412" s="36" t="str">
        <f aca="false">IF(A412="","",YEAR(A412)&amp;"-"&amp;TEXT(MONTH(A412),"00"))</f>
        <v/>
      </c>
      <c r="C412" s="34"/>
      <c r="D412" s="2"/>
      <c r="E412" s="35"/>
      <c r="F412" s="33"/>
      <c r="G412" s="34"/>
      <c r="H412" s="2"/>
      <c r="I412" s="2"/>
      <c r="J412" s="2"/>
      <c r="K412" s="2"/>
      <c r="L412" s="2"/>
      <c r="M412" s="2"/>
      <c r="N412" s="2"/>
      <c r="O412" s="2"/>
      <c r="P412" s="2"/>
      <c r="Q412" s="33"/>
      <c r="R412" s="34"/>
      <c r="S412" s="33"/>
    </row>
    <row r="413" customFormat="false" ht="15" hidden="false" customHeight="false" outlineLevel="0" collapsed="false">
      <c r="A413" s="35"/>
      <c r="B413" s="36" t="str">
        <f aca="false">IF(A413="","",YEAR(A413)&amp;"-"&amp;TEXT(MONTH(A413),"00"))</f>
        <v/>
      </c>
      <c r="C413" s="34"/>
      <c r="D413" s="2"/>
      <c r="E413" s="35"/>
      <c r="F413" s="33"/>
      <c r="G413" s="34"/>
      <c r="H413" s="2"/>
      <c r="I413" s="2"/>
      <c r="J413" s="2"/>
      <c r="K413" s="2"/>
      <c r="L413" s="2"/>
      <c r="M413" s="2"/>
      <c r="N413" s="2"/>
      <c r="O413" s="2"/>
      <c r="P413" s="2"/>
      <c r="Q413" s="33"/>
      <c r="R413" s="34"/>
      <c r="S413" s="33"/>
    </row>
    <row r="414" customFormat="false" ht="15" hidden="false" customHeight="false" outlineLevel="0" collapsed="false">
      <c r="A414" s="35"/>
      <c r="B414" s="36" t="str">
        <f aca="false">IF(A414="","",YEAR(A414)&amp;"-"&amp;TEXT(MONTH(A414),"00"))</f>
        <v/>
      </c>
      <c r="C414" s="34"/>
      <c r="D414" s="2"/>
      <c r="E414" s="35"/>
      <c r="F414" s="33"/>
      <c r="G414" s="34"/>
      <c r="H414" s="2"/>
      <c r="I414" s="2"/>
      <c r="J414" s="2"/>
      <c r="K414" s="2"/>
      <c r="L414" s="2"/>
      <c r="M414" s="2"/>
      <c r="N414" s="2"/>
      <c r="O414" s="2"/>
      <c r="P414" s="2"/>
      <c r="Q414" s="33"/>
      <c r="R414" s="34"/>
      <c r="S414" s="33"/>
    </row>
    <row r="415" customFormat="false" ht="15" hidden="false" customHeight="false" outlineLevel="0" collapsed="false">
      <c r="A415" s="35"/>
      <c r="B415" s="36" t="str">
        <f aca="false">IF(A415="","",YEAR(A415)&amp;"-"&amp;TEXT(MONTH(A415),"00"))</f>
        <v/>
      </c>
      <c r="C415" s="34"/>
      <c r="D415" s="2"/>
      <c r="E415" s="35"/>
      <c r="F415" s="33"/>
      <c r="G415" s="34"/>
      <c r="H415" s="2"/>
      <c r="I415" s="2"/>
      <c r="J415" s="2"/>
      <c r="K415" s="2"/>
      <c r="L415" s="2"/>
      <c r="M415" s="2"/>
      <c r="N415" s="2"/>
      <c r="O415" s="2"/>
      <c r="P415" s="2"/>
      <c r="Q415" s="33"/>
      <c r="R415" s="34"/>
      <c r="S415" s="33"/>
    </row>
    <row r="416" customFormat="false" ht="15" hidden="false" customHeight="false" outlineLevel="0" collapsed="false">
      <c r="A416" s="35"/>
      <c r="B416" s="36" t="str">
        <f aca="false">IF(A416="","",YEAR(A416)&amp;"-"&amp;TEXT(MONTH(A416),"00"))</f>
        <v/>
      </c>
      <c r="C416" s="34"/>
      <c r="D416" s="2"/>
      <c r="E416" s="35"/>
      <c r="F416" s="33"/>
      <c r="G416" s="34"/>
      <c r="H416" s="2"/>
      <c r="I416" s="2"/>
      <c r="J416" s="2"/>
      <c r="K416" s="2"/>
      <c r="L416" s="2"/>
      <c r="M416" s="2"/>
      <c r="N416" s="2"/>
      <c r="O416" s="2"/>
      <c r="P416" s="2"/>
      <c r="Q416" s="33"/>
      <c r="R416" s="34"/>
      <c r="S416" s="33"/>
    </row>
    <row r="417" customFormat="false" ht="15" hidden="false" customHeight="false" outlineLevel="0" collapsed="false">
      <c r="A417" s="35"/>
      <c r="B417" s="36" t="str">
        <f aca="false">IF(A417="","",YEAR(A417)&amp;"-"&amp;TEXT(MONTH(A417),"00"))</f>
        <v/>
      </c>
      <c r="C417" s="34"/>
      <c r="D417" s="2"/>
      <c r="E417" s="35"/>
      <c r="F417" s="33"/>
      <c r="G417" s="34"/>
      <c r="H417" s="2"/>
      <c r="I417" s="2"/>
      <c r="J417" s="2"/>
      <c r="K417" s="2"/>
      <c r="L417" s="2"/>
      <c r="M417" s="2"/>
      <c r="N417" s="2"/>
      <c r="O417" s="2"/>
      <c r="P417" s="2"/>
      <c r="Q417" s="33"/>
      <c r="R417" s="34"/>
      <c r="S417" s="33"/>
    </row>
    <row r="418" customFormat="false" ht="15" hidden="false" customHeight="false" outlineLevel="0" collapsed="false">
      <c r="A418" s="35"/>
      <c r="B418" s="36" t="str">
        <f aca="false">IF(A418="","",YEAR(A418)&amp;"-"&amp;TEXT(MONTH(A418),"00"))</f>
        <v/>
      </c>
      <c r="C418" s="34"/>
      <c r="D418" s="2"/>
      <c r="E418" s="35"/>
      <c r="F418" s="33"/>
      <c r="G418" s="34"/>
      <c r="H418" s="2"/>
      <c r="I418" s="2"/>
      <c r="J418" s="2"/>
      <c r="K418" s="2"/>
      <c r="L418" s="2"/>
      <c r="M418" s="2"/>
      <c r="N418" s="2"/>
      <c r="O418" s="2"/>
      <c r="P418" s="2"/>
      <c r="Q418" s="33"/>
      <c r="R418" s="34"/>
      <c r="S418" s="33"/>
    </row>
    <row r="419" customFormat="false" ht="15" hidden="false" customHeight="false" outlineLevel="0" collapsed="false">
      <c r="A419" s="35"/>
      <c r="B419" s="36" t="str">
        <f aca="false">IF(A419="","",YEAR(A419)&amp;"-"&amp;TEXT(MONTH(A419),"00"))</f>
        <v/>
      </c>
      <c r="C419" s="34"/>
      <c r="D419" s="2"/>
      <c r="E419" s="35"/>
      <c r="F419" s="33"/>
      <c r="G419" s="34"/>
      <c r="H419" s="2"/>
      <c r="I419" s="2"/>
      <c r="J419" s="2"/>
      <c r="K419" s="2"/>
      <c r="L419" s="2"/>
      <c r="M419" s="2"/>
      <c r="N419" s="2"/>
      <c r="O419" s="2"/>
      <c r="P419" s="2"/>
      <c r="Q419" s="33"/>
      <c r="R419" s="34"/>
      <c r="S419" s="33"/>
    </row>
    <row r="420" customFormat="false" ht="15" hidden="false" customHeight="false" outlineLevel="0" collapsed="false">
      <c r="A420" s="35"/>
      <c r="B420" s="36" t="str">
        <f aca="false">IF(A420="","",YEAR(A420)&amp;"-"&amp;TEXT(MONTH(A420),"00"))</f>
        <v/>
      </c>
      <c r="C420" s="34"/>
      <c r="D420" s="2"/>
      <c r="E420" s="35"/>
      <c r="F420" s="33"/>
      <c r="G420" s="34"/>
      <c r="H420" s="2"/>
      <c r="I420" s="2"/>
      <c r="J420" s="2"/>
      <c r="K420" s="2"/>
      <c r="L420" s="2"/>
      <c r="M420" s="2"/>
      <c r="N420" s="2"/>
      <c r="O420" s="2"/>
      <c r="P420" s="2"/>
      <c r="Q420" s="33"/>
      <c r="R420" s="34"/>
      <c r="S420" s="33"/>
    </row>
    <row r="421" customFormat="false" ht="15" hidden="false" customHeight="false" outlineLevel="0" collapsed="false">
      <c r="A421" s="35"/>
      <c r="B421" s="36" t="str">
        <f aca="false">IF(A421="","",YEAR(A421)&amp;"-"&amp;TEXT(MONTH(A421),"00"))</f>
        <v/>
      </c>
      <c r="C421" s="34"/>
      <c r="D421" s="2"/>
      <c r="E421" s="35"/>
      <c r="F421" s="33"/>
      <c r="G421" s="34"/>
      <c r="H421" s="2"/>
      <c r="I421" s="2"/>
      <c r="J421" s="2"/>
      <c r="K421" s="2"/>
      <c r="L421" s="2"/>
      <c r="M421" s="2"/>
      <c r="N421" s="2"/>
      <c r="O421" s="2"/>
      <c r="P421" s="2"/>
      <c r="Q421" s="33"/>
      <c r="R421" s="34"/>
      <c r="S421" s="33"/>
    </row>
    <row r="422" customFormat="false" ht="15" hidden="false" customHeight="false" outlineLevel="0" collapsed="false">
      <c r="A422" s="35"/>
      <c r="B422" s="36" t="str">
        <f aca="false">IF(A422="","",YEAR(A422)&amp;"-"&amp;TEXT(MONTH(A422),"00"))</f>
        <v/>
      </c>
      <c r="C422" s="34"/>
      <c r="D422" s="2"/>
      <c r="E422" s="35"/>
      <c r="F422" s="33"/>
      <c r="G422" s="34"/>
      <c r="H422" s="2"/>
      <c r="I422" s="2"/>
      <c r="J422" s="2"/>
      <c r="K422" s="2"/>
      <c r="L422" s="2"/>
      <c r="M422" s="2"/>
      <c r="N422" s="2"/>
      <c r="O422" s="2"/>
      <c r="P422" s="2"/>
      <c r="Q422" s="33"/>
      <c r="R422" s="34"/>
      <c r="S422" s="33"/>
    </row>
    <row r="423" customFormat="false" ht="15" hidden="false" customHeight="false" outlineLevel="0" collapsed="false">
      <c r="A423" s="35"/>
      <c r="B423" s="36" t="str">
        <f aca="false">IF(A423="","",YEAR(A423)&amp;"-"&amp;TEXT(MONTH(A423),"00"))</f>
        <v/>
      </c>
      <c r="C423" s="34"/>
      <c r="D423" s="2"/>
      <c r="E423" s="35"/>
      <c r="F423" s="33"/>
      <c r="G423" s="34"/>
      <c r="H423" s="2"/>
      <c r="I423" s="2"/>
      <c r="J423" s="2"/>
      <c r="K423" s="2"/>
      <c r="L423" s="2"/>
      <c r="M423" s="2"/>
      <c r="N423" s="2"/>
      <c r="O423" s="2"/>
      <c r="P423" s="2"/>
      <c r="Q423" s="33"/>
      <c r="R423" s="34"/>
      <c r="S423" s="33"/>
    </row>
    <row r="424" customFormat="false" ht="15" hidden="false" customHeight="false" outlineLevel="0" collapsed="false">
      <c r="A424" s="35"/>
      <c r="B424" s="36" t="str">
        <f aca="false">IF(A424="","",YEAR(A424)&amp;"-"&amp;TEXT(MONTH(A424),"00"))</f>
        <v/>
      </c>
      <c r="C424" s="34"/>
      <c r="D424" s="2"/>
      <c r="E424" s="35"/>
      <c r="F424" s="33"/>
      <c r="G424" s="34"/>
      <c r="H424" s="2"/>
      <c r="I424" s="2"/>
      <c r="J424" s="2"/>
      <c r="K424" s="2"/>
      <c r="L424" s="2"/>
      <c r="M424" s="2"/>
      <c r="N424" s="2"/>
      <c r="O424" s="2"/>
      <c r="P424" s="2"/>
      <c r="Q424" s="33"/>
      <c r="R424" s="34"/>
      <c r="S424" s="33"/>
    </row>
    <row r="425" customFormat="false" ht="15" hidden="false" customHeight="false" outlineLevel="0" collapsed="false">
      <c r="A425" s="35"/>
      <c r="B425" s="36" t="str">
        <f aca="false">IF(A425="","",YEAR(A425)&amp;"-"&amp;TEXT(MONTH(A425),"00"))</f>
        <v/>
      </c>
      <c r="C425" s="34"/>
      <c r="D425" s="2"/>
      <c r="E425" s="35"/>
      <c r="F425" s="33"/>
      <c r="G425" s="34"/>
      <c r="H425" s="2"/>
      <c r="I425" s="2"/>
      <c r="J425" s="2"/>
      <c r="K425" s="2"/>
      <c r="L425" s="2"/>
      <c r="M425" s="2"/>
      <c r="N425" s="2"/>
      <c r="O425" s="2"/>
      <c r="P425" s="2"/>
      <c r="Q425" s="33"/>
      <c r="R425" s="34"/>
      <c r="S425" s="33"/>
    </row>
    <row r="426" customFormat="false" ht="15" hidden="false" customHeight="false" outlineLevel="0" collapsed="false">
      <c r="A426" s="35"/>
      <c r="B426" s="36" t="str">
        <f aca="false">IF(A426="","",YEAR(A426)&amp;"-"&amp;TEXT(MONTH(A426),"00"))</f>
        <v/>
      </c>
      <c r="C426" s="34"/>
      <c r="D426" s="2"/>
      <c r="E426" s="35"/>
      <c r="F426" s="33"/>
      <c r="G426" s="34"/>
      <c r="H426" s="2"/>
      <c r="I426" s="2"/>
      <c r="J426" s="2"/>
      <c r="K426" s="2"/>
      <c r="L426" s="2"/>
      <c r="M426" s="2"/>
      <c r="N426" s="2"/>
      <c r="O426" s="2"/>
      <c r="P426" s="2"/>
      <c r="Q426" s="33"/>
      <c r="R426" s="34"/>
      <c r="S426" s="33"/>
    </row>
    <row r="427" customFormat="false" ht="15" hidden="false" customHeight="false" outlineLevel="0" collapsed="false">
      <c r="A427" s="35"/>
      <c r="B427" s="36" t="str">
        <f aca="false">IF(A427="","",YEAR(A427)&amp;"-"&amp;TEXT(MONTH(A427),"00"))</f>
        <v/>
      </c>
      <c r="C427" s="34"/>
      <c r="D427" s="2"/>
      <c r="E427" s="35"/>
      <c r="F427" s="33"/>
      <c r="G427" s="34"/>
      <c r="H427" s="2"/>
      <c r="I427" s="2"/>
      <c r="J427" s="2"/>
      <c r="K427" s="2"/>
      <c r="L427" s="2"/>
      <c r="M427" s="2"/>
      <c r="N427" s="2"/>
      <c r="O427" s="2"/>
      <c r="P427" s="2"/>
      <c r="Q427" s="33"/>
      <c r="R427" s="34"/>
      <c r="S427" s="33"/>
    </row>
    <row r="428" customFormat="false" ht="15" hidden="false" customHeight="false" outlineLevel="0" collapsed="false">
      <c r="A428" s="35"/>
      <c r="B428" s="36" t="str">
        <f aca="false">IF(A428="","",YEAR(A428)&amp;"-"&amp;TEXT(MONTH(A428),"00"))</f>
        <v/>
      </c>
      <c r="C428" s="34"/>
      <c r="D428" s="2"/>
      <c r="E428" s="35"/>
      <c r="F428" s="33"/>
      <c r="G428" s="34"/>
      <c r="H428" s="2"/>
      <c r="I428" s="2"/>
      <c r="J428" s="2"/>
      <c r="K428" s="2"/>
      <c r="L428" s="2"/>
      <c r="M428" s="2"/>
      <c r="N428" s="2"/>
      <c r="O428" s="2"/>
      <c r="P428" s="2"/>
      <c r="Q428" s="33"/>
      <c r="R428" s="34"/>
      <c r="S428" s="33"/>
    </row>
    <row r="429" customFormat="false" ht="15" hidden="false" customHeight="false" outlineLevel="0" collapsed="false">
      <c r="A429" s="35"/>
      <c r="B429" s="36" t="str">
        <f aca="false">IF(A429="","",YEAR(A429)&amp;"-"&amp;TEXT(MONTH(A429),"00"))</f>
        <v/>
      </c>
      <c r="C429" s="34"/>
      <c r="D429" s="2"/>
      <c r="E429" s="35"/>
      <c r="F429" s="33"/>
      <c r="G429" s="34"/>
      <c r="H429" s="2"/>
      <c r="I429" s="2"/>
      <c r="J429" s="2"/>
      <c r="K429" s="2"/>
      <c r="L429" s="2"/>
      <c r="M429" s="2"/>
      <c r="N429" s="2"/>
      <c r="O429" s="2"/>
      <c r="P429" s="2"/>
      <c r="Q429" s="33"/>
      <c r="R429" s="34"/>
      <c r="S429" s="33"/>
    </row>
    <row r="430" customFormat="false" ht="15" hidden="false" customHeight="false" outlineLevel="0" collapsed="false">
      <c r="A430" s="35"/>
      <c r="B430" s="36" t="str">
        <f aca="false">IF(A430="","",YEAR(A430)&amp;"-"&amp;TEXT(MONTH(A430),"00"))</f>
        <v/>
      </c>
      <c r="C430" s="34"/>
      <c r="D430" s="2"/>
      <c r="E430" s="35"/>
      <c r="F430" s="33"/>
      <c r="G430" s="34"/>
      <c r="H430" s="2"/>
      <c r="I430" s="2"/>
      <c r="J430" s="2"/>
      <c r="K430" s="2"/>
      <c r="L430" s="2"/>
      <c r="M430" s="2"/>
      <c r="N430" s="2"/>
      <c r="O430" s="2"/>
      <c r="P430" s="2"/>
      <c r="Q430" s="33"/>
      <c r="R430" s="34"/>
      <c r="S430" s="33"/>
    </row>
    <row r="431" customFormat="false" ht="15" hidden="false" customHeight="false" outlineLevel="0" collapsed="false">
      <c r="A431" s="35"/>
      <c r="B431" s="36" t="str">
        <f aca="false">IF(A431="","",YEAR(A431)&amp;"-"&amp;TEXT(MONTH(A431),"00"))</f>
        <v/>
      </c>
      <c r="C431" s="34"/>
      <c r="D431" s="2"/>
      <c r="E431" s="35"/>
      <c r="F431" s="33"/>
      <c r="G431" s="34"/>
      <c r="H431" s="2"/>
      <c r="I431" s="2"/>
      <c r="J431" s="2"/>
      <c r="K431" s="2"/>
      <c r="L431" s="2"/>
      <c r="M431" s="2"/>
      <c r="N431" s="2"/>
      <c r="O431" s="2"/>
      <c r="P431" s="2"/>
      <c r="Q431" s="33"/>
      <c r="R431" s="34"/>
      <c r="S431" s="33"/>
    </row>
    <row r="432" customFormat="false" ht="15" hidden="false" customHeight="false" outlineLevel="0" collapsed="false">
      <c r="A432" s="35"/>
      <c r="B432" s="36" t="str">
        <f aca="false">IF(A432="","",YEAR(A432)&amp;"-"&amp;TEXT(MONTH(A432),"00"))</f>
        <v/>
      </c>
      <c r="C432" s="34"/>
      <c r="D432" s="2"/>
      <c r="E432" s="35"/>
      <c r="F432" s="33"/>
      <c r="G432" s="34"/>
      <c r="H432" s="2"/>
      <c r="I432" s="2"/>
      <c r="J432" s="2"/>
      <c r="K432" s="2"/>
      <c r="L432" s="2"/>
      <c r="M432" s="2"/>
      <c r="N432" s="2"/>
      <c r="O432" s="2"/>
      <c r="P432" s="2"/>
      <c r="Q432" s="33"/>
      <c r="R432" s="34"/>
      <c r="S432" s="33"/>
    </row>
    <row r="433" customFormat="false" ht="15" hidden="false" customHeight="false" outlineLevel="0" collapsed="false">
      <c r="A433" s="35"/>
      <c r="B433" s="36" t="str">
        <f aca="false">IF(A433="","",YEAR(A433)&amp;"-"&amp;TEXT(MONTH(A433),"00"))</f>
        <v/>
      </c>
      <c r="C433" s="34"/>
      <c r="D433" s="2"/>
      <c r="E433" s="35"/>
      <c r="F433" s="33"/>
      <c r="G433" s="34"/>
      <c r="H433" s="2"/>
      <c r="I433" s="2"/>
      <c r="J433" s="2"/>
      <c r="K433" s="2"/>
      <c r="L433" s="2"/>
      <c r="M433" s="2"/>
      <c r="N433" s="2"/>
      <c r="O433" s="2"/>
      <c r="P433" s="2"/>
      <c r="Q433" s="33"/>
      <c r="R433" s="34"/>
      <c r="S433" s="33"/>
    </row>
    <row r="434" customFormat="false" ht="15" hidden="false" customHeight="false" outlineLevel="0" collapsed="false">
      <c r="A434" s="35"/>
      <c r="B434" s="36" t="str">
        <f aca="false">IF(A434="","",YEAR(A434)&amp;"-"&amp;TEXT(MONTH(A434),"00"))</f>
        <v/>
      </c>
      <c r="C434" s="34"/>
      <c r="D434" s="2"/>
      <c r="E434" s="35"/>
      <c r="F434" s="33"/>
      <c r="G434" s="34"/>
      <c r="H434" s="2"/>
      <c r="I434" s="2"/>
      <c r="J434" s="2"/>
      <c r="K434" s="2"/>
      <c r="L434" s="2"/>
      <c r="M434" s="2"/>
      <c r="N434" s="2"/>
      <c r="O434" s="2"/>
      <c r="P434" s="2"/>
      <c r="Q434" s="33"/>
      <c r="R434" s="34"/>
      <c r="S434" s="33"/>
    </row>
    <row r="435" customFormat="false" ht="15" hidden="false" customHeight="false" outlineLevel="0" collapsed="false">
      <c r="A435" s="35"/>
      <c r="B435" s="36" t="str">
        <f aca="false">IF(A435="","",YEAR(A435)&amp;"-"&amp;TEXT(MONTH(A435),"00"))</f>
        <v/>
      </c>
      <c r="C435" s="34"/>
      <c r="D435" s="2"/>
      <c r="E435" s="35"/>
      <c r="F435" s="33"/>
      <c r="G435" s="34"/>
      <c r="H435" s="2"/>
      <c r="I435" s="2"/>
      <c r="J435" s="2"/>
      <c r="K435" s="2"/>
      <c r="L435" s="2"/>
      <c r="M435" s="2"/>
      <c r="N435" s="2"/>
      <c r="O435" s="2"/>
      <c r="P435" s="2"/>
      <c r="Q435" s="33"/>
      <c r="R435" s="34"/>
      <c r="S435" s="33"/>
    </row>
    <row r="436" customFormat="false" ht="15" hidden="false" customHeight="false" outlineLevel="0" collapsed="false">
      <c r="A436" s="35"/>
      <c r="B436" s="36" t="str">
        <f aca="false">IF(A436="","",YEAR(A436)&amp;"-"&amp;TEXT(MONTH(A436),"00"))</f>
        <v/>
      </c>
      <c r="C436" s="34"/>
      <c r="D436" s="2"/>
      <c r="E436" s="35"/>
      <c r="F436" s="33"/>
      <c r="G436" s="34"/>
      <c r="H436" s="2"/>
      <c r="I436" s="2"/>
      <c r="J436" s="2"/>
      <c r="K436" s="2"/>
      <c r="L436" s="2"/>
      <c r="M436" s="2"/>
      <c r="N436" s="2"/>
      <c r="O436" s="2"/>
      <c r="P436" s="2"/>
      <c r="Q436" s="33"/>
      <c r="R436" s="34"/>
      <c r="S436" s="33"/>
    </row>
    <row r="437" customFormat="false" ht="15" hidden="false" customHeight="false" outlineLevel="0" collapsed="false">
      <c r="A437" s="35"/>
      <c r="B437" s="36" t="str">
        <f aca="false">IF(A437="","",YEAR(A437)&amp;"-"&amp;TEXT(MONTH(A437),"00"))</f>
        <v/>
      </c>
      <c r="C437" s="34"/>
      <c r="D437" s="2"/>
      <c r="E437" s="35"/>
      <c r="F437" s="33"/>
      <c r="G437" s="34"/>
      <c r="H437" s="2"/>
      <c r="I437" s="2"/>
      <c r="J437" s="2"/>
      <c r="K437" s="2"/>
      <c r="L437" s="2"/>
      <c r="M437" s="2"/>
      <c r="N437" s="2"/>
      <c r="O437" s="2"/>
      <c r="P437" s="2"/>
      <c r="Q437" s="33"/>
      <c r="R437" s="34"/>
      <c r="S437" s="33"/>
    </row>
    <row r="438" customFormat="false" ht="15" hidden="false" customHeight="false" outlineLevel="0" collapsed="false">
      <c r="A438" s="35"/>
      <c r="B438" s="36" t="str">
        <f aca="false">IF(A438="","",YEAR(A438)&amp;"-"&amp;TEXT(MONTH(A438),"00"))</f>
        <v/>
      </c>
      <c r="C438" s="34"/>
      <c r="D438" s="2"/>
      <c r="E438" s="35"/>
      <c r="F438" s="33"/>
      <c r="G438" s="34"/>
      <c r="H438" s="2"/>
      <c r="I438" s="2"/>
      <c r="J438" s="2"/>
      <c r="K438" s="2"/>
      <c r="L438" s="2"/>
      <c r="M438" s="2"/>
      <c r="N438" s="2"/>
      <c r="O438" s="2"/>
      <c r="P438" s="2"/>
      <c r="Q438" s="33"/>
      <c r="R438" s="34"/>
      <c r="S438" s="33"/>
    </row>
    <row r="439" customFormat="false" ht="15" hidden="false" customHeight="false" outlineLevel="0" collapsed="false">
      <c r="A439" s="35"/>
      <c r="B439" s="36" t="str">
        <f aca="false">IF(A439="","",YEAR(A439)&amp;"-"&amp;TEXT(MONTH(A439),"00"))</f>
        <v/>
      </c>
      <c r="C439" s="34"/>
      <c r="D439" s="2"/>
      <c r="E439" s="35"/>
      <c r="F439" s="33"/>
      <c r="G439" s="34"/>
      <c r="H439" s="2"/>
      <c r="I439" s="2"/>
      <c r="J439" s="2"/>
      <c r="K439" s="2"/>
      <c r="L439" s="2"/>
      <c r="M439" s="2"/>
      <c r="N439" s="2"/>
      <c r="O439" s="2"/>
      <c r="P439" s="2"/>
      <c r="Q439" s="33"/>
      <c r="R439" s="34"/>
      <c r="S439" s="33"/>
    </row>
    <row r="440" customFormat="false" ht="15" hidden="false" customHeight="false" outlineLevel="0" collapsed="false">
      <c r="A440" s="35"/>
      <c r="B440" s="36" t="str">
        <f aca="false">IF(A440="","",YEAR(A440)&amp;"-"&amp;TEXT(MONTH(A440),"00"))</f>
        <v/>
      </c>
      <c r="C440" s="34"/>
      <c r="D440" s="2"/>
      <c r="E440" s="35"/>
      <c r="F440" s="33"/>
      <c r="G440" s="34"/>
      <c r="H440" s="2"/>
      <c r="I440" s="2"/>
      <c r="J440" s="2"/>
      <c r="K440" s="2"/>
      <c r="L440" s="2"/>
      <c r="M440" s="2"/>
      <c r="N440" s="2"/>
      <c r="O440" s="2"/>
      <c r="P440" s="2"/>
      <c r="Q440" s="33"/>
      <c r="R440" s="34"/>
      <c r="S440" s="33"/>
    </row>
    <row r="441" customFormat="false" ht="15" hidden="false" customHeight="false" outlineLevel="0" collapsed="false">
      <c r="A441" s="35"/>
      <c r="B441" s="36" t="str">
        <f aca="false">IF(A441="","",YEAR(A441)&amp;"-"&amp;TEXT(MONTH(A441),"00"))</f>
        <v/>
      </c>
      <c r="C441" s="34"/>
      <c r="D441" s="2"/>
      <c r="E441" s="35"/>
      <c r="F441" s="33"/>
      <c r="G441" s="34"/>
      <c r="H441" s="2"/>
      <c r="I441" s="2"/>
      <c r="J441" s="2"/>
      <c r="K441" s="2"/>
      <c r="L441" s="2"/>
      <c r="M441" s="2"/>
      <c r="N441" s="2"/>
      <c r="O441" s="2"/>
      <c r="P441" s="2"/>
      <c r="Q441" s="33"/>
      <c r="R441" s="34"/>
      <c r="S441" s="33"/>
    </row>
    <row r="442" customFormat="false" ht="15" hidden="false" customHeight="false" outlineLevel="0" collapsed="false">
      <c r="A442" s="35"/>
      <c r="B442" s="36" t="str">
        <f aca="false">IF(A442="","",YEAR(A442)&amp;"-"&amp;TEXT(MONTH(A442),"00"))</f>
        <v/>
      </c>
      <c r="C442" s="34"/>
      <c r="D442" s="2"/>
      <c r="E442" s="35"/>
      <c r="F442" s="33"/>
      <c r="G442" s="34"/>
      <c r="H442" s="2"/>
      <c r="I442" s="2"/>
      <c r="J442" s="2"/>
      <c r="K442" s="2"/>
      <c r="L442" s="2"/>
      <c r="M442" s="2"/>
      <c r="N442" s="2"/>
      <c r="O442" s="2"/>
      <c r="P442" s="2"/>
      <c r="Q442" s="33"/>
      <c r="R442" s="34"/>
      <c r="S442" s="33"/>
    </row>
    <row r="443" customFormat="false" ht="15" hidden="false" customHeight="false" outlineLevel="0" collapsed="false">
      <c r="A443" s="35"/>
      <c r="B443" s="36" t="str">
        <f aca="false">IF(A443="","",YEAR(A443)&amp;"-"&amp;TEXT(MONTH(A443),"00"))</f>
        <v/>
      </c>
      <c r="C443" s="34"/>
      <c r="D443" s="2"/>
      <c r="E443" s="35"/>
      <c r="F443" s="33"/>
      <c r="G443" s="34"/>
      <c r="H443" s="2"/>
      <c r="I443" s="2"/>
      <c r="J443" s="2"/>
      <c r="K443" s="2"/>
      <c r="L443" s="2"/>
      <c r="M443" s="2"/>
      <c r="N443" s="2"/>
      <c r="O443" s="2"/>
      <c r="P443" s="2"/>
      <c r="Q443" s="33"/>
      <c r="R443" s="34"/>
      <c r="S443" s="33"/>
    </row>
    <row r="444" customFormat="false" ht="15" hidden="false" customHeight="false" outlineLevel="0" collapsed="false">
      <c r="A444" s="35"/>
      <c r="B444" s="36" t="str">
        <f aca="false">IF(A444="","",YEAR(A444)&amp;"-"&amp;TEXT(MONTH(A444),"00"))</f>
        <v/>
      </c>
      <c r="C444" s="34"/>
      <c r="D444" s="2"/>
      <c r="E444" s="35"/>
      <c r="F444" s="33"/>
      <c r="G444" s="34"/>
      <c r="H444" s="2"/>
      <c r="I444" s="2"/>
      <c r="J444" s="2"/>
      <c r="K444" s="2"/>
      <c r="L444" s="2"/>
      <c r="M444" s="2"/>
      <c r="N444" s="2"/>
      <c r="O444" s="2"/>
      <c r="P444" s="2"/>
      <c r="Q444" s="33"/>
      <c r="R444" s="34"/>
      <c r="S444" s="33"/>
    </row>
    <row r="445" customFormat="false" ht="15" hidden="false" customHeight="false" outlineLevel="0" collapsed="false">
      <c r="A445" s="35"/>
      <c r="B445" s="36" t="str">
        <f aca="false">IF(A445="","",YEAR(A445)&amp;"-"&amp;TEXT(MONTH(A445),"00"))</f>
        <v/>
      </c>
      <c r="C445" s="34"/>
      <c r="D445" s="2"/>
      <c r="E445" s="35"/>
      <c r="F445" s="33"/>
      <c r="G445" s="34"/>
      <c r="H445" s="2"/>
      <c r="I445" s="2"/>
      <c r="J445" s="2"/>
      <c r="K445" s="2"/>
      <c r="L445" s="2"/>
      <c r="M445" s="2"/>
      <c r="N445" s="2"/>
      <c r="O445" s="2"/>
      <c r="P445" s="2"/>
      <c r="Q445" s="33"/>
      <c r="R445" s="34"/>
      <c r="S445" s="33"/>
    </row>
    <row r="446" customFormat="false" ht="15" hidden="false" customHeight="false" outlineLevel="0" collapsed="false">
      <c r="A446" s="35"/>
      <c r="B446" s="36" t="str">
        <f aca="false">IF(A446="","",YEAR(A446)&amp;"-"&amp;TEXT(MONTH(A446),"00"))</f>
        <v/>
      </c>
      <c r="C446" s="34"/>
      <c r="D446" s="2"/>
      <c r="E446" s="35"/>
      <c r="F446" s="33"/>
      <c r="G446" s="34"/>
      <c r="H446" s="2"/>
      <c r="I446" s="2"/>
      <c r="J446" s="2"/>
      <c r="K446" s="2"/>
      <c r="L446" s="2"/>
      <c r="M446" s="2"/>
      <c r="N446" s="2"/>
      <c r="O446" s="2"/>
      <c r="P446" s="2"/>
      <c r="Q446" s="33"/>
      <c r="R446" s="34"/>
      <c r="S446" s="33"/>
    </row>
    <row r="447" customFormat="false" ht="15" hidden="false" customHeight="false" outlineLevel="0" collapsed="false">
      <c r="A447" s="35"/>
      <c r="B447" s="36" t="str">
        <f aca="false">IF(A447="","",YEAR(A447)&amp;"-"&amp;TEXT(MONTH(A447),"00"))</f>
        <v/>
      </c>
      <c r="C447" s="34"/>
      <c r="D447" s="2"/>
      <c r="E447" s="35"/>
      <c r="F447" s="33"/>
      <c r="G447" s="34"/>
      <c r="H447" s="2"/>
      <c r="I447" s="2"/>
      <c r="J447" s="2"/>
      <c r="K447" s="2"/>
      <c r="L447" s="2"/>
      <c r="M447" s="2"/>
      <c r="N447" s="2"/>
      <c r="O447" s="2"/>
      <c r="P447" s="2"/>
      <c r="Q447" s="33"/>
      <c r="R447" s="34"/>
      <c r="S447" s="33"/>
    </row>
    <row r="448" customFormat="false" ht="15" hidden="false" customHeight="false" outlineLevel="0" collapsed="false">
      <c r="A448" s="35"/>
      <c r="B448" s="36" t="str">
        <f aca="false">IF(A448="","",YEAR(A448)&amp;"-"&amp;TEXT(MONTH(A448),"00"))</f>
        <v/>
      </c>
      <c r="C448" s="34"/>
      <c r="D448" s="2"/>
      <c r="E448" s="35"/>
      <c r="F448" s="33"/>
      <c r="G448" s="34"/>
      <c r="H448" s="2"/>
      <c r="I448" s="2"/>
      <c r="J448" s="2"/>
      <c r="K448" s="2"/>
      <c r="L448" s="2"/>
      <c r="M448" s="2"/>
      <c r="N448" s="2"/>
      <c r="O448" s="2"/>
      <c r="P448" s="2"/>
      <c r="Q448" s="33"/>
      <c r="R448" s="34"/>
      <c r="S448" s="33"/>
    </row>
    <row r="449" customFormat="false" ht="15" hidden="false" customHeight="false" outlineLevel="0" collapsed="false">
      <c r="A449" s="35"/>
      <c r="B449" s="36" t="str">
        <f aca="false">IF(A449="","",YEAR(A449)&amp;"-"&amp;TEXT(MONTH(A449),"00"))</f>
        <v/>
      </c>
      <c r="C449" s="34"/>
      <c r="D449" s="2"/>
      <c r="E449" s="35"/>
      <c r="F449" s="33"/>
      <c r="G449" s="34"/>
      <c r="H449" s="2"/>
      <c r="I449" s="2"/>
      <c r="J449" s="2"/>
      <c r="K449" s="2"/>
      <c r="L449" s="2"/>
      <c r="M449" s="2"/>
      <c r="N449" s="2"/>
      <c r="O449" s="2"/>
      <c r="P449" s="2"/>
      <c r="Q449" s="33"/>
      <c r="R449" s="34"/>
      <c r="S449" s="33"/>
    </row>
    <row r="450" customFormat="false" ht="15" hidden="false" customHeight="false" outlineLevel="0" collapsed="false">
      <c r="A450" s="35"/>
      <c r="B450" s="36" t="str">
        <f aca="false">IF(A450="","",YEAR(A450)&amp;"-"&amp;TEXT(MONTH(A450),"00"))</f>
        <v/>
      </c>
      <c r="C450" s="34"/>
      <c r="D450" s="2"/>
      <c r="E450" s="35"/>
      <c r="F450" s="33"/>
      <c r="G450" s="34"/>
      <c r="H450" s="2"/>
      <c r="I450" s="2"/>
      <c r="J450" s="2"/>
      <c r="K450" s="2"/>
      <c r="L450" s="2"/>
      <c r="M450" s="2"/>
      <c r="N450" s="2"/>
      <c r="O450" s="2"/>
      <c r="P450" s="2"/>
      <c r="Q450" s="33"/>
      <c r="R450" s="34"/>
      <c r="S450" s="33"/>
    </row>
    <row r="451" customFormat="false" ht="15" hidden="false" customHeight="false" outlineLevel="0" collapsed="false">
      <c r="A451" s="35"/>
      <c r="B451" s="36" t="str">
        <f aca="false">IF(A451="","",YEAR(A451)&amp;"-"&amp;TEXT(MONTH(A451),"00"))</f>
        <v/>
      </c>
      <c r="C451" s="34"/>
      <c r="D451" s="2"/>
      <c r="E451" s="35"/>
      <c r="F451" s="33"/>
      <c r="G451" s="34"/>
      <c r="H451" s="2"/>
      <c r="I451" s="2"/>
      <c r="J451" s="2"/>
      <c r="K451" s="2"/>
      <c r="L451" s="2"/>
      <c r="M451" s="2"/>
      <c r="N451" s="2"/>
      <c r="O451" s="2"/>
      <c r="P451" s="2"/>
      <c r="Q451" s="33"/>
      <c r="R451" s="34"/>
      <c r="S451" s="33"/>
    </row>
    <row r="452" customFormat="false" ht="15" hidden="false" customHeight="false" outlineLevel="0" collapsed="false">
      <c r="A452" s="35"/>
      <c r="B452" s="36" t="str">
        <f aca="false">IF(A452="","",YEAR(A452)&amp;"-"&amp;TEXT(MONTH(A452),"00"))</f>
        <v/>
      </c>
      <c r="C452" s="34"/>
      <c r="D452" s="2"/>
      <c r="E452" s="35"/>
      <c r="F452" s="33"/>
      <c r="G452" s="34"/>
      <c r="H452" s="2"/>
      <c r="I452" s="2"/>
      <c r="J452" s="2"/>
      <c r="K452" s="2"/>
      <c r="L452" s="2"/>
      <c r="M452" s="2"/>
      <c r="N452" s="2"/>
      <c r="O452" s="2"/>
      <c r="P452" s="2"/>
      <c r="Q452" s="33"/>
      <c r="R452" s="34"/>
      <c r="S452" s="33"/>
    </row>
    <row r="453" customFormat="false" ht="15" hidden="false" customHeight="false" outlineLevel="0" collapsed="false">
      <c r="A453" s="35"/>
      <c r="B453" s="36" t="str">
        <f aca="false">IF(A453="","",YEAR(A453)&amp;"-"&amp;TEXT(MONTH(A453),"00"))</f>
        <v/>
      </c>
      <c r="C453" s="34"/>
      <c r="D453" s="2"/>
      <c r="E453" s="35"/>
      <c r="F453" s="33"/>
      <c r="G453" s="34"/>
      <c r="H453" s="2"/>
      <c r="I453" s="2"/>
      <c r="J453" s="2"/>
      <c r="K453" s="2"/>
      <c r="L453" s="2"/>
      <c r="M453" s="2"/>
      <c r="N453" s="2"/>
      <c r="O453" s="2"/>
      <c r="P453" s="2"/>
      <c r="Q453" s="33"/>
      <c r="R453" s="34"/>
      <c r="S453" s="33"/>
    </row>
    <row r="454" customFormat="false" ht="15" hidden="false" customHeight="false" outlineLevel="0" collapsed="false">
      <c r="A454" s="35"/>
      <c r="B454" s="36" t="str">
        <f aca="false">IF(A454="","",YEAR(A454)&amp;"-"&amp;TEXT(MONTH(A454),"00"))</f>
        <v/>
      </c>
      <c r="C454" s="34"/>
      <c r="D454" s="2"/>
      <c r="E454" s="35"/>
      <c r="F454" s="33"/>
      <c r="G454" s="34"/>
      <c r="H454" s="2"/>
      <c r="I454" s="2"/>
      <c r="J454" s="2"/>
      <c r="K454" s="2"/>
      <c r="L454" s="2"/>
      <c r="M454" s="2"/>
      <c r="N454" s="2"/>
      <c r="O454" s="2"/>
      <c r="P454" s="2"/>
      <c r="Q454" s="33"/>
      <c r="R454" s="34"/>
      <c r="S454" s="33"/>
    </row>
    <row r="455" customFormat="false" ht="15" hidden="false" customHeight="false" outlineLevel="0" collapsed="false">
      <c r="A455" s="35"/>
      <c r="B455" s="36" t="str">
        <f aca="false">IF(A455="","",YEAR(A455)&amp;"-"&amp;TEXT(MONTH(A455),"00"))</f>
        <v/>
      </c>
      <c r="C455" s="34"/>
      <c r="D455" s="2"/>
      <c r="E455" s="35"/>
      <c r="F455" s="33"/>
      <c r="G455" s="34"/>
      <c r="H455" s="2"/>
      <c r="I455" s="2"/>
      <c r="J455" s="2"/>
      <c r="K455" s="2"/>
      <c r="L455" s="2"/>
      <c r="M455" s="2"/>
      <c r="N455" s="2"/>
      <c r="O455" s="2"/>
      <c r="P455" s="2"/>
      <c r="Q455" s="33"/>
      <c r="R455" s="34"/>
      <c r="S455" s="33"/>
    </row>
    <row r="456" customFormat="false" ht="15" hidden="false" customHeight="false" outlineLevel="0" collapsed="false">
      <c r="A456" s="35"/>
      <c r="B456" s="36" t="str">
        <f aca="false">IF(A456="","",YEAR(A456)&amp;"-"&amp;TEXT(MONTH(A456),"00"))</f>
        <v/>
      </c>
      <c r="C456" s="34"/>
      <c r="D456" s="2"/>
      <c r="E456" s="35"/>
      <c r="F456" s="33"/>
      <c r="G456" s="34"/>
      <c r="H456" s="2"/>
      <c r="I456" s="2"/>
      <c r="J456" s="2"/>
      <c r="K456" s="2"/>
      <c r="L456" s="2"/>
      <c r="M456" s="2"/>
      <c r="N456" s="2"/>
      <c r="O456" s="2"/>
      <c r="P456" s="2"/>
      <c r="Q456" s="33"/>
      <c r="R456" s="34"/>
      <c r="S456" s="33"/>
    </row>
    <row r="457" customFormat="false" ht="15" hidden="false" customHeight="false" outlineLevel="0" collapsed="false">
      <c r="A457" s="35"/>
      <c r="B457" s="36" t="str">
        <f aca="false">IF(A457="","",YEAR(A457)&amp;"-"&amp;TEXT(MONTH(A457),"00"))</f>
        <v/>
      </c>
      <c r="C457" s="34"/>
      <c r="D457" s="2"/>
      <c r="E457" s="35"/>
      <c r="F457" s="33"/>
      <c r="G457" s="34"/>
      <c r="H457" s="2"/>
      <c r="I457" s="2"/>
      <c r="J457" s="2"/>
      <c r="K457" s="2"/>
      <c r="L457" s="2"/>
      <c r="M457" s="2"/>
      <c r="N457" s="2"/>
      <c r="O457" s="2"/>
      <c r="P457" s="2"/>
      <c r="Q457" s="33"/>
      <c r="R457" s="34"/>
      <c r="S457" s="33"/>
    </row>
    <row r="458" customFormat="false" ht="15" hidden="false" customHeight="false" outlineLevel="0" collapsed="false">
      <c r="A458" s="35"/>
      <c r="B458" s="36" t="str">
        <f aca="false">IF(A458="","",YEAR(A458)&amp;"-"&amp;TEXT(MONTH(A458),"00"))</f>
        <v/>
      </c>
      <c r="C458" s="34"/>
      <c r="D458" s="2"/>
      <c r="E458" s="35"/>
      <c r="F458" s="33"/>
      <c r="G458" s="34"/>
      <c r="H458" s="2"/>
      <c r="I458" s="2"/>
      <c r="J458" s="2"/>
      <c r="K458" s="2"/>
      <c r="L458" s="2"/>
      <c r="M458" s="2"/>
      <c r="N458" s="2"/>
      <c r="O458" s="2"/>
      <c r="P458" s="2"/>
      <c r="Q458" s="33"/>
      <c r="R458" s="34"/>
      <c r="S458" s="33"/>
    </row>
    <row r="459" customFormat="false" ht="15" hidden="false" customHeight="false" outlineLevel="0" collapsed="false">
      <c r="A459" s="35"/>
      <c r="B459" s="36" t="str">
        <f aca="false">IF(A459="","",YEAR(A459)&amp;"-"&amp;TEXT(MONTH(A459),"00"))</f>
        <v/>
      </c>
      <c r="C459" s="34"/>
      <c r="D459" s="2"/>
      <c r="E459" s="35"/>
      <c r="F459" s="33"/>
      <c r="G459" s="34"/>
      <c r="H459" s="2"/>
      <c r="I459" s="2"/>
      <c r="J459" s="2"/>
      <c r="K459" s="2"/>
      <c r="L459" s="2"/>
      <c r="M459" s="2"/>
      <c r="N459" s="2"/>
      <c r="O459" s="2"/>
      <c r="P459" s="2"/>
      <c r="Q459" s="33"/>
      <c r="R459" s="34"/>
      <c r="S459" s="33"/>
    </row>
    <row r="460" customFormat="false" ht="15" hidden="false" customHeight="false" outlineLevel="0" collapsed="false">
      <c r="A460" s="35"/>
      <c r="B460" s="36" t="str">
        <f aca="false">IF(A460="","",YEAR(A460)&amp;"-"&amp;TEXT(MONTH(A460),"00"))</f>
        <v/>
      </c>
      <c r="C460" s="34"/>
      <c r="D460" s="2"/>
      <c r="E460" s="35"/>
      <c r="F460" s="33"/>
      <c r="G460" s="34"/>
      <c r="H460" s="2"/>
      <c r="I460" s="2"/>
      <c r="J460" s="2"/>
      <c r="K460" s="2"/>
      <c r="L460" s="2"/>
      <c r="M460" s="2"/>
      <c r="N460" s="2"/>
      <c r="O460" s="2"/>
      <c r="P460" s="2"/>
      <c r="Q460" s="33"/>
      <c r="R460" s="34"/>
      <c r="S460" s="33"/>
    </row>
    <row r="461" customFormat="false" ht="15" hidden="false" customHeight="false" outlineLevel="0" collapsed="false">
      <c r="A461" s="35"/>
      <c r="B461" s="36" t="str">
        <f aca="false">IF(A461="","",YEAR(A461)&amp;"-"&amp;TEXT(MONTH(A461),"00"))</f>
        <v/>
      </c>
      <c r="C461" s="34"/>
      <c r="D461" s="2"/>
      <c r="E461" s="35"/>
      <c r="F461" s="33"/>
      <c r="G461" s="34"/>
      <c r="H461" s="2"/>
      <c r="I461" s="2"/>
      <c r="J461" s="2"/>
      <c r="K461" s="2"/>
      <c r="L461" s="2"/>
      <c r="M461" s="2"/>
      <c r="N461" s="2"/>
      <c r="O461" s="2"/>
      <c r="P461" s="2"/>
      <c r="Q461" s="33"/>
      <c r="R461" s="34"/>
      <c r="S461" s="33"/>
    </row>
    <row r="462" customFormat="false" ht="15" hidden="false" customHeight="false" outlineLevel="0" collapsed="false">
      <c r="A462" s="35"/>
      <c r="B462" s="36" t="str">
        <f aca="false">IF(A462="","",YEAR(A462)&amp;"-"&amp;TEXT(MONTH(A462),"00"))</f>
        <v/>
      </c>
      <c r="C462" s="34"/>
      <c r="D462" s="2"/>
      <c r="E462" s="35"/>
      <c r="F462" s="33"/>
      <c r="G462" s="34"/>
      <c r="H462" s="2"/>
      <c r="I462" s="2"/>
      <c r="J462" s="2"/>
      <c r="K462" s="2"/>
      <c r="L462" s="2"/>
      <c r="M462" s="2"/>
      <c r="N462" s="2"/>
      <c r="O462" s="2"/>
      <c r="P462" s="2"/>
      <c r="Q462" s="33"/>
      <c r="R462" s="34"/>
      <c r="S462" s="33"/>
    </row>
    <row r="463" customFormat="false" ht="15" hidden="false" customHeight="false" outlineLevel="0" collapsed="false">
      <c r="A463" s="35"/>
      <c r="B463" s="36" t="str">
        <f aca="false">IF(A463="","",YEAR(A463)&amp;"-"&amp;TEXT(MONTH(A463),"00"))</f>
        <v/>
      </c>
      <c r="C463" s="34"/>
      <c r="D463" s="2"/>
      <c r="E463" s="35"/>
      <c r="F463" s="33"/>
      <c r="G463" s="34"/>
      <c r="H463" s="2"/>
      <c r="I463" s="2"/>
      <c r="J463" s="2"/>
      <c r="K463" s="2"/>
      <c r="L463" s="2"/>
      <c r="M463" s="2"/>
      <c r="N463" s="2"/>
      <c r="O463" s="2"/>
      <c r="P463" s="2"/>
      <c r="Q463" s="33"/>
      <c r="R463" s="34"/>
      <c r="S463" s="33"/>
    </row>
    <row r="464" customFormat="false" ht="15" hidden="false" customHeight="false" outlineLevel="0" collapsed="false">
      <c r="A464" s="35"/>
      <c r="B464" s="36" t="str">
        <f aca="false">IF(A464="","",YEAR(A464)&amp;"-"&amp;TEXT(MONTH(A464),"00"))</f>
        <v/>
      </c>
      <c r="C464" s="34"/>
      <c r="D464" s="2"/>
      <c r="E464" s="35"/>
      <c r="F464" s="33"/>
      <c r="G464" s="34"/>
      <c r="H464" s="2"/>
      <c r="I464" s="2"/>
      <c r="J464" s="2"/>
      <c r="K464" s="2"/>
      <c r="L464" s="2"/>
      <c r="M464" s="2"/>
      <c r="N464" s="2"/>
      <c r="O464" s="2"/>
      <c r="P464" s="2"/>
      <c r="Q464" s="33"/>
      <c r="R464" s="34"/>
      <c r="S464" s="33"/>
    </row>
    <row r="465" customFormat="false" ht="15" hidden="false" customHeight="false" outlineLevel="0" collapsed="false">
      <c r="A465" s="35"/>
      <c r="B465" s="36" t="str">
        <f aca="false">IF(A465="","",YEAR(A465)&amp;"-"&amp;TEXT(MONTH(A465),"00"))</f>
        <v/>
      </c>
      <c r="C465" s="34"/>
      <c r="D465" s="2"/>
      <c r="E465" s="35"/>
      <c r="F465" s="33"/>
      <c r="G465" s="34"/>
      <c r="H465" s="2"/>
      <c r="I465" s="2"/>
      <c r="J465" s="2"/>
      <c r="K465" s="2"/>
      <c r="L465" s="2"/>
      <c r="M465" s="2"/>
      <c r="N465" s="2"/>
      <c r="O465" s="2"/>
      <c r="P465" s="2"/>
      <c r="Q465" s="33"/>
      <c r="R465" s="34"/>
      <c r="S465" s="33"/>
    </row>
    <row r="466" customFormat="false" ht="15" hidden="false" customHeight="false" outlineLevel="0" collapsed="false">
      <c r="A466" s="35"/>
      <c r="B466" s="36" t="str">
        <f aca="false">IF(A466="","",YEAR(A466)&amp;"-"&amp;TEXT(MONTH(A466),"00"))</f>
        <v/>
      </c>
      <c r="C466" s="34"/>
      <c r="D466" s="2"/>
      <c r="E466" s="35"/>
      <c r="F466" s="33"/>
      <c r="G466" s="34"/>
      <c r="H466" s="2"/>
      <c r="I466" s="2"/>
      <c r="J466" s="2"/>
      <c r="K466" s="2"/>
      <c r="L466" s="2"/>
      <c r="M466" s="2"/>
      <c r="N466" s="2"/>
      <c r="O466" s="2"/>
      <c r="P466" s="2"/>
      <c r="Q466" s="33"/>
      <c r="R466" s="34"/>
      <c r="S466" s="33"/>
    </row>
    <row r="467" customFormat="false" ht="15" hidden="false" customHeight="false" outlineLevel="0" collapsed="false">
      <c r="A467" s="35"/>
      <c r="B467" s="36" t="str">
        <f aca="false">IF(A467="","",YEAR(A467)&amp;"-"&amp;TEXT(MONTH(A467),"00"))</f>
        <v/>
      </c>
      <c r="C467" s="34"/>
      <c r="D467" s="2"/>
      <c r="E467" s="35"/>
      <c r="F467" s="33"/>
      <c r="G467" s="34"/>
      <c r="H467" s="2"/>
      <c r="I467" s="2"/>
      <c r="J467" s="2"/>
      <c r="K467" s="2"/>
      <c r="L467" s="2"/>
      <c r="M467" s="2"/>
      <c r="N467" s="2"/>
      <c r="O467" s="2"/>
      <c r="P467" s="2"/>
      <c r="Q467" s="33"/>
      <c r="R467" s="34"/>
      <c r="S467" s="33"/>
    </row>
    <row r="468" customFormat="false" ht="15" hidden="false" customHeight="false" outlineLevel="0" collapsed="false">
      <c r="A468" s="35"/>
      <c r="B468" s="36" t="str">
        <f aca="false">IF(A468="","",YEAR(A468)&amp;"-"&amp;TEXT(MONTH(A468),"00"))</f>
        <v/>
      </c>
      <c r="C468" s="34"/>
      <c r="D468" s="2"/>
      <c r="E468" s="35"/>
      <c r="F468" s="33"/>
      <c r="G468" s="34"/>
      <c r="H468" s="2"/>
      <c r="I468" s="2"/>
      <c r="J468" s="2"/>
      <c r="K468" s="2"/>
      <c r="L468" s="2"/>
      <c r="M468" s="2"/>
      <c r="N468" s="2"/>
      <c r="O468" s="2"/>
      <c r="P468" s="2"/>
      <c r="Q468" s="33"/>
      <c r="R468" s="34"/>
      <c r="S468" s="33"/>
    </row>
    <row r="469" customFormat="false" ht="15" hidden="false" customHeight="false" outlineLevel="0" collapsed="false">
      <c r="A469" s="35"/>
      <c r="B469" s="36" t="str">
        <f aca="false">IF(A469="","",YEAR(A469)&amp;"-"&amp;TEXT(MONTH(A469),"00"))</f>
        <v/>
      </c>
      <c r="C469" s="34"/>
      <c r="D469" s="2"/>
      <c r="E469" s="35"/>
      <c r="F469" s="33"/>
      <c r="G469" s="34"/>
      <c r="H469" s="2"/>
      <c r="I469" s="2"/>
      <c r="J469" s="2"/>
      <c r="K469" s="2"/>
      <c r="L469" s="2"/>
      <c r="M469" s="2"/>
      <c r="N469" s="2"/>
      <c r="O469" s="2"/>
      <c r="P469" s="2"/>
      <c r="Q469" s="33"/>
      <c r="R469" s="34"/>
      <c r="S469" s="33"/>
    </row>
    <row r="470" customFormat="false" ht="15" hidden="false" customHeight="false" outlineLevel="0" collapsed="false">
      <c r="A470" s="35"/>
      <c r="B470" s="36" t="str">
        <f aca="false">IF(A470="","",YEAR(A470)&amp;"-"&amp;TEXT(MONTH(A470),"00"))</f>
        <v/>
      </c>
      <c r="C470" s="34"/>
      <c r="D470" s="2"/>
      <c r="E470" s="35"/>
      <c r="F470" s="33"/>
      <c r="G470" s="34"/>
      <c r="H470" s="2"/>
      <c r="I470" s="2"/>
      <c r="J470" s="2"/>
      <c r="K470" s="2"/>
      <c r="L470" s="2"/>
      <c r="M470" s="2"/>
      <c r="N470" s="2"/>
      <c r="O470" s="2"/>
      <c r="P470" s="2"/>
      <c r="Q470" s="33"/>
      <c r="R470" s="34"/>
      <c r="S470" s="33"/>
    </row>
    <row r="471" customFormat="false" ht="15" hidden="false" customHeight="false" outlineLevel="0" collapsed="false">
      <c r="A471" s="35"/>
      <c r="B471" s="36" t="str">
        <f aca="false">IF(A471="","",YEAR(A471)&amp;"-"&amp;TEXT(MONTH(A471),"00"))</f>
        <v/>
      </c>
      <c r="C471" s="34"/>
      <c r="D471" s="2"/>
      <c r="E471" s="35"/>
      <c r="F471" s="33"/>
      <c r="G471" s="34"/>
      <c r="H471" s="2"/>
      <c r="I471" s="2"/>
      <c r="J471" s="2"/>
      <c r="K471" s="2"/>
      <c r="L471" s="2"/>
      <c r="M471" s="2"/>
      <c r="N471" s="2"/>
      <c r="O471" s="2"/>
      <c r="P471" s="2"/>
      <c r="Q471" s="33"/>
      <c r="R471" s="34"/>
      <c r="S471" s="33"/>
    </row>
    <row r="472" customFormat="false" ht="15" hidden="false" customHeight="false" outlineLevel="0" collapsed="false">
      <c r="A472" s="35"/>
      <c r="B472" s="36" t="str">
        <f aca="false">IF(A472="","",YEAR(A472)&amp;"-"&amp;TEXT(MONTH(A472),"00"))</f>
        <v/>
      </c>
      <c r="C472" s="34"/>
      <c r="D472" s="2"/>
      <c r="E472" s="35"/>
      <c r="F472" s="33"/>
      <c r="G472" s="34"/>
      <c r="H472" s="2"/>
      <c r="I472" s="2"/>
      <c r="J472" s="2"/>
      <c r="K472" s="2"/>
      <c r="L472" s="2"/>
      <c r="M472" s="2"/>
      <c r="N472" s="2"/>
      <c r="O472" s="2"/>
      <c r="P472" s="2"/>
      <c r="Q472" s="33"/>
      <c r="R472" s="34"/>
      <c r="S472" s="33"/>
    </row>
    <row r="473" customFormat="false" ht="15" hidden="false" customHeight="false" outlineLevel="0" collapsed="false">
      <c r="A473" s="35"/>
      <c r="B473" s="36" t="str">
        <f aca="false">IF(A473="","",YEAR(A473)&amp;"-"&amp;TEXT(MONTH(A473),"00"))</f>
        <v/>
      </c>
      <c r="C473" s="34"/>
      <c r="D473" s="2"/>
      <c r="E473" s="35"/>
      <c r="F473" s="33"/>
      <c r="G473" s="34"/>
      <c r="H473" s="2"/>
      <c r="I473" s="2"/>
      <c r="J473" s="2"/>
      <c r="K473" s="2"/>
      <c r="L473" s="2"/>
      <c r="M473" s="2"/>
      <c r="N473" s="2"/>
      <c r="O473" s="2"/>
      <c r="P473" s="2"/>
      <c r="Q473" s="33"/>
      <c r="R473" s="34"/>
      <c r="S473" s="33"/>
    </row>
    <row r="474" customFormat="false" ht="15" hidden="false" customHeight="false" outlineLevel="0" collapsed="false">
      <c r="A474" s="35"/>
      <c r="B474" s="36" t="str">
        <f aca="false">IF(A474="","",YEAR(A474)&amp;"-"&amp;TEXT(MONTH(A474),"00"))</f>
        <v/>
      </c>
      <c r="C474" s="34"/>
      <c r="D474" s="2"/>
      <c r="E474" s="35"/>
      <c r="F474" s="33"/>
      <c r="G474" s="34"/>
      <c r="H474" s="2"/>
      <c r="I474" s="2"/>
      <c r="J474" s="2"/>
      <c r="K474" s="2"/>
      <c r="L474" s="2"/>
      <c r="M474" s="2"/>
      <c r="N474" s="2"/>
      <c r="O474" s="2"/>
      <c r="P474" s="2"/>
      <c r="Q474" s="33"/>
      <c r="R474" s="34"/>
      <c r="S474" s="33"/>
    </row>
    <row r="475" customFormat="false" ht="15" hidden="false" customHeight="false" outlineLevel="0" collapsed="false">
      <c r="A475" s="35"/>
      <c r="B475" s="36" t="str">
        <f aca="false">IF(A475="","",YEAR(A475)&amp;"-"&amp;TEXT(MONTH(A475),"00"))</f>
        <v/>
      </c>
      <c r="C475" s="34"/>
      <c r="D475" s="2"/>
      <c r="E475" s="35"/>
      <c r="F475" s="33"/>
      <c r="G475" s="34"/>
      <c r="H475" s="2"/>
      <c r="I475" s="2"/>
      <c r="J475" s="2"/>
      <c r="K475" s="2"/>
      <c r="L475" s="2"/>
      <c r="M475" s="2"/>
      <c r="N475" s="2"/>
      <c r="O475" s="2"/>
      <c r="P475" s="2"/>
      <c r="Q475" s="33"/>
      <c r="R475" s="34"/>
      <c r="S475" s="33"/>
    </row>
    <row r="476" customFormat="false" ht="15" hidden="false" customHeight="false" outlineLevel="0" collapsed="false">
      <c r="A476" s="35"/>
      <c r="B476" s="36" t="str">
        <f aca="false">IF(A476="","",YEAR(A476)&amp;"-"&amp;TEXT(MONTH(A476),"00"))</f>
        <v/>
      </c>
      <c r="C476" s="34"/>
      <c r="D476" s="2"/>
      <c r="E476" s="35"/>
      <c r="F476" s="33"/>
      <c r="G476" s="34"/>
      <c r="H476" s="2"/>
      <c r="I476" s="2"/>
      <c r="J476" s="2"/>
      <c r="K476" s="2"/>
      <c r="L476" s="2"/>
      <c r="M476" s="2"/>
      <c r="N476" s="2"/>
      <c r="O476" s="2"/>
      <c r="P476" s="2"/>
      <c r="Q476" s="33"/>
      <c r="R476" s="34"/>
      <c r="S476" s="33"/>
    </row>
    <row r="477" customFormat="false" ht="15" hidden="false" customHeight="false" outlineLevel="0" collapsed="false">
      <c r="A477" s="35"/>
      <c r="B477" s="36" t="str">
        <f aca="false">IF(A477="","",YEAR(A477)&amp;"-"&amp;TEXT(MONTH(A477),"00"))</f>
        <v/>
      </c>
      <c r="C477" s="34"/>
      <c r="D477" s="2"/>
      <c r="E477" s="35"/>
      <c r="F477" s="33"/>
      <c r="G477" s="34"/>
      <c r="H477" s="2"/>
      <c r="I477" s="2"/>
      <c r="J477" s="2"/>
      <c r="K477" s="2"/>
      <c r="L477" s="2"/>
      <c r="M477" s="2"/>
      <c r="N477" s="2"/>
      <c r="O477" s="2"/>
      <c r="P477" s="2"/>
      <c r="Q477" s="33"/>
      <c r="R477" s="34"/>
      <c r="S477" s="33"/>
    </row>
    <row r="478" customFormat="false" ht="15" hidden="false" customHeight="false" outlineLevel="0" collapsed="false">
      <c r="A478" s="35"/>
      <c r="B478" s="36" t="str">
        <f aca="false">IF(A478="","",YEAR(A478)&amp;"-"&amp;TEXT(MONTH(A478),"00"))</f>
        <v/>
      </c>
      <c r="C478" s="34"/>
      <c r="D478" s="2"/>
      <c r="E478" s="35"/>
      <c r="F478" s="33"/>
      <c r="G478" s="34"/>
      <c r="H478" s="2"/>
      <c r="I478" s="2"/>
      <c r="J478" s="2"/>
      <c r="K478" s="2"/>
      <c r="L478" s="2"/>
      <c r="M478" s="2"/>
      <c r="N478" s="2"/>
      <c r="O478" s="2"/>
      <c r="P478" s="2"/>
      <c r="Q478" s="33"/>
      <c r="R478" s="34"/>
      <c r="S478" s="33"/>
    </row>
    <row r="479" customFormat="false" ht="15" hidden="false" customHeight="false" outlineLevel="0" collapsed="false">
      <c r="A479" s="35"/>
      <c r="B479" s="36" t="str">
        <f aca="false">IF(A479="","",YEAR(A479)&amp;"-"&amp;TEXT(MONTH(A479),"00"))</f>
        <v/>
      </c>
      <c r="C479" s="34"/>
      <c r="D479" s="2"/>
      <c r="E479" s="35"/>
      <c r="F479" s="33"/>
      <c r="G479" s="34"/>
      <c r="H479" s="2"/>
      <c r="I479" s="2"/>
      <c r="J479" s="2"/>
      <c r="K479" s="2"/>
      <c r="L479" s="2"/>
      <c r="M479" s="2"/>
      <c r="N479" s="2"/>
      <c r="O479" s="2"/>
      <c r="P479" s="2"/>
      <c r="Q479" s="33"/>
      <c r="R479" s="34"/>
      <c r="S479" s="33"/>
    </row>
    <row r="480" customFormat="false" ht="15" hidden="false" customHeight="false" outlineLevel="0" collapsed="false">
      <c r="A480" s="35"/>
      <c r="B480" s="36" t="str">
        <f aca="false">IF(A480="","",YEAR(A480)&amp;"-"&amp;TEXT(MONTH(A480),"00"))</f>
        <v/>
      </c>
      <c r="C480" s="34"/>
      <c r="D480" s="2"/>
      <c r="E480" s="35"/>
      <c r="F480" s="33"/>
      <c r="G480" s="34"/>
      <c r="H480" s="2"/>
      <c r="I480" s="2"/>
      <c r="J480" s="2"/>
      <c r="K480" s="2"/>
      <c r="L480" s="2"/>
      <c r="M480" s="2"/>
      <c r="N480" s="2"/>
      <c r="O480" s="2"/>
      <c r="P480" s="2"/>
      <c r="Q480" s="33"/>
      <c r="R480" s="34"/>
      <c r="S480" s="33"/>
    </row>
    <row r="481" customFormat="false" ht="15" hidden="false" customHeight="false" outlineLevel="0" collapsed="false">
      <c r="A481" s="35"/>
      <c r="B481" s="36" t="str">
        <f aca="false">IF(A481="","",YEAR(A481)&amp;"-"&amp;TEXT(MONTH(A481),"00"))</f>
        <v/>
      </c>
      <c r="C481" s="34"/>
      <c r="D481" s="2"/>
      <c r="E481" s="35"/>
      <c r="F481" s="33"/>
      <c r="G481" s="34"/>
      <c r="H481" s="2"/>
      <c r="I481" s="2"/>
      <c r="J481" s="2"/>
      <c r="K481" s="2"/>
      <c r="L481" s="2"/>
      <c r="M481" s="2"/>
      <c r="N481" s="2"/>
      <c r="O481" s="2"/>
      <c r="P481" s="2"/>
      <c r="Q481" s="33"/>
      <c r="R481" s="34"/>
      <c r="S481" s="33"/>
    </row>
    <row r="482" customFormat="false" ht="15" hidden="false" customHeight="false" outlineLevel="0" collapsed="false">
      <c r="A482" s="35"/>
      <c r="B482" s="36" t="str">
        <f aca="false">IF(A482="","",YEAR(A482)&amp;"-"&amp;TEXT(MONTH(A482),"00"))</f>
        <v/>
      </c>
      <c r="C482" s="34"/>
      <c r="D482" s="2"/>
      <c r="E482" s="35"/>
      <c r="F482" s="33"/>
      <c r="G482" s="34"/>
      <c r="H482" s="2"/>
      <c r="I482" s="2"/>
      <c r="J482" s="2"/>
      <c r="K482" s="2"/>
      <c r="L482" s="2"/>
      <c r="M482" s="2"/>
      <c r="N482" s="2"/>
      <c r="O482" s="2"/>
      <c r="P482" s="2"/>
      <c r="Q482" s="33"/>
      <c r="R482" s="34"/>
      <c r="S482" s="33"/>
    </row>
    <row r="483" customFormat="false" ht="15" hidden="false" customHeight="false" outlineLevel="0" collapsed="false">
      <c r="A483" s="35"/>
      <c r="B483" s="36" t="str">
        <f aca="false">IF(A483="","",YEAR(A483)&amp;"-"&amp;TEXT(MONTH(A483),"00"))</f>
        <v/>
      </c>
      <c r="C483" s="34"/>
      <c r="D483" s="2"/>
      <c r="E483" s="35"/>
      <c r="F483" s="33"/>
      <c r="G483" s="34"/>
      <c r="H483" s="2"/>
      <c r="I483" s="2"/>
      <c r="J483" s="2"/>
      <c r="K483" s="2"/>
      <c r="L483" s="2"/>
      <c r="M483" s="2"/>
      <c r="N483" s="2"/>
      <c r="O483" s="2"/>
      <c r="P483" s="2"/>
      <c r="Q483" s="33"/>
      <c r="R483" s="34"/>
      <c r="S483" s="33"/>
    </row>
    <row r="484" customFormat="false" ht="15" hidden="false" customHeight="false" outlineLevel="0" collapsed="false">
      <c r="A484" s="35"/>
      <c r="B484" s="36" t="str">
        <f aca="false">IF(A484="","",YEAR(A484)&amp;"-"&amp;TEXT(MONTH(A484),"00"))</f>
        <v/>
      </c>
      <c r="C484" s="34"/>
      <c r="D484" s="2"/>
      <c r="E484" s="35"/>
      <c r="F484" s="33"/>
      <c r="G484" s="34"/>
      <c r="H484" s="2"/>
      <c r="I484" s="2"/>
      <c r="J484" s="2"/>
      <c r="K484" s="2"/>
      <c r="L484" s="2"/>
      <c r="M484" s="2"/>
      <c r="N484" s="2"/>
      <c r="O484" s="2"/>
      <c r="P484" s="2"/>
      <c r="Q484" s="33"/>
      <c r="R484" s="34"/>
      <c r="S484" s="33"/>
    </row>
    <row r="485" customFormat="false" ht="15" hidden="false" customHeight="false" outlineLevel="0" collapsed="false">
      <c r="A485" s="35"/>
      <c r="B485" s="36" t="str">
        <f aca="false">IF(A485="","",YEAR(A485)&amp;"-"&amp;TEXT(MONTH(A485),"00"))</f>
        <v/>
      </c>
      <c r="C485" s="34"/>
      <c r="D485" s="2"/>
      <c r="E485" s="35"/>
      <c r="F485" s="33"/>
      <c r="G485" s="34"/>
      <c r="H485" s="2"/>
      <c r="I485" s="2"/>
      <c r="J485" s="2"/>
      <c r="K485" s="2"/>
      <c r="L485" s="2"/>
      <c r="M485" s="2"/>
      <c r="N485" s="2"/>
      <c r="O485" s="2"/>
      <c r="P485" s="2"/>
      <c r="Q485" s="33"/>
      <c r="R485" s="34"/>
      <c r="S485" s="33"/>
    </row>
    <row r="486" customFormat="false" ht="15" hidden="false" customHeight="false" outlineLevel="0" collapsed="false">
      <c r="A486" s="35"/>
      <c r="B486" s="36" t="str">
        <f aca="false">IF(A486="","",YEAR(A486)&amp;"-"&amp;TEXT(MONTH(A486),"00"))</f>
        <v/>
      </c>
      <c r="C486" s="34"/>
      <c r="D486" s="2"/>
      <c r="E486" s="35"/>
      <c r="F486" s="33"/>
      <c r="G486" s="34"/>
      <c r="H486" s="2"/>
      <c r="I486" s="2"/>
      <c r="J486" s="2"/>
      <c r="K486" s="2"/>
      <c r="L486" s="2"/>
      <c r="M486" s="2"/>
      <c r="N486" s="2"/>
      <c r="O486" s="2"/>
      <c r="P486" s="2"/>
      <c r="Q486" s="33"/>
      <c r="R486" s="34"/>
      <c r="S486" s="33"/>
    </row>
    <row r="487" customFormat="false" ht="15" hidden="false" customHeight="false" outlineLevel="0" collapsed="false">
      <c r="A487" s="35"/>
      <c r="B487" s="36" t="str">
        <f aca="false">IF(A487="","",YEAR(A487)&amp;"-"&amp;TEXT(MONTH(A487),"00"))</f>
        <v/>
      </c>
      <c r="C487" s="34"/>
      <c r="D487" s="2"/>
      <c r="E487" s="35"/>
      <c r="F487" s="33"/>
      <c r="G487" s="34"/>
      <c r="H487" s="2"/>
      <c r="I487" s="2"/>
      <c r="J487" s="2"/>
      <c r="K487" s="2"/>
      <c r="L487" s="2"/>
      <c r="M487" s="2"/>
      <c r="N487" s="2"/>
      <c r="O487" s="2"/>
      <c r="P487" s="2"/>
      <c r="Q487" s="33"/>
      <c r="R487" s="34"/>
      <c r="S487" s="33"/>
    </row>
    <row r="488" customFormat="false" ht="15" hidden="false" customHeight="false" outlineLevel="0" collapsed="false">
      <c r="A488" s="35"/>
      <c r="B488" s="36" t="str">
        <f aca="false">IF(A488="","",YEAR(A488)&amp;"-"&amp;TEXT(MONTH(A488),"00"))</f>
        <v/>
      </c>
      <c r="C488" s="34"/>
      <c r="D488" s="2"/>
      <c r="E488" s="35"/>
      <c r="F488" s="33"/>
      <c r="G488" s="34"/>
      <c r="H488" s="2"/>
      <c r="I488" s="2"/>
      <c r="J488" s="2"/>
      <c r="K488" s="2"/>
      <c r="L488" s="2"/>
      <c r="M488" s="2"/>
      <c r="N488" s="2"/>
      <c r="O488" s="2"/>
      <c r="P488" s="2"/>
      <c r="Q488" s="33"/>
      <c r="R488" s="34"/>
      <c r="S488" s="33"/>
    </row>
    <row r="489" customFormat="false" ht="15" hidden="false" customHeight="false" outlineLevel="0" collapsed="false">
      <c r="A489" s="35"/>
      <c r="B489" s="36" t="str">
        <f aca="false">IF(A489="","",YEAR(A489)&amp;"-"&amp;TEXT(MONTH(A489),"00"))</f>
        <v/>
      </c>
      <c r="C489" s="34"/>
      <c r="D489" s="2"/>
      <c r="E489" s="35"/>
      <c r="F489" s="33"/>
      <c r="G489" s="34"/>
      <c r="H489" s="2"/>
      <c r="I489" s="2"/>
      <c r="J489" s="2"/>
      <c r="K489" s="2"/>
      <c r="L489" s="2"/>
      <c r="M489" s="2"/>
      <c r="N489" s="2"/>
      <c r="O489" s="2"/>
      <c r="P489" s="2"/>
      <c r="Q489" s="33"/>
      <c r="R489" s="34"/>
      <c r="S489" s="33"/>
    </row>
    <row r="490" customFormat="false" ht="15" hidden="false" customHeight="false" outlineLevel="0" collapsed="false">
      <c r="A490" s="35"/>
      <c r="B490" s="36" t="str">
        <f aca="false">IF(A490="","",YEAR(A490)&amp;"-"&amp;TEXT(MONTH(A490),"00"))</f>
        <v/>
      </c>
      <c r="C490" s="34"/>
      <c r="D490" s="2"/>
      <c r="E490" s="35"/>
      <c r="F490" s="33"/>
      <c r="G490" s="34"/>
      <c r="H490" s="2"/>
      <c r="I490" s="2"/>
      <c r="J490" s="2"/>
      <c r="K490" s="2"/>
      <c r="L490" s="2"/>
      <c r="M490" s="2"/>
      <c r="N490" s="2"/>
      <c r="O490" s="2"/>
      <c r="P490" s="2"/>
      <c r="Q490" s="33"/>
      <c r="R490" s="34"/>
      <c r="S490" s="33"/>
    </row>
    <row r="491" customFormat="false" ht="15" hidden="false" customHeight="false" outlineLevel="0" collapsed="false">
      <c r="A491" s="35"/>
      <c r="B491" s="36" t="str">
        <f aca="false">IF(A491="","",YEAR(A491)&amp;"-"&amp;TEXT(MONTH(A491),"00"))</f>
        <v/>
      </c>
      <c r="C491" s="34"/>
      <c r="D491" s="2"/>
      <c r="E491" s="35"/>
      <c r="F491" s="33"/>
      <c r="G491" s="34"/>
      <c r="H491" s="2"/>
      <c r="I491" s="2"/>
      <c r="J491" s="2"/>
      <c r="K491" s="2"/>
      <c r="L491" s="2"/>
      <c r="M491" s="2"/>
      <c r="N491" s="2"/>
      <c r="O491" s="2"/>
      <c r="P491" s="2"/>
      <c r="Q491" s="33"/>
      <c r="R491" s="34"/>
      <c r="S491" s="33"/>
    </row>
    <row r="492" customFormat="false" ht="15" hidden="false" customHeight="false" outlineLevel="0" collapsed="false">
      <c r="A492" s="35"/>
      <c r="B492" s="36" t="str">
        <f aca="false">IF(A492="","",YEAR(A492)&amp;"-"&amp;TEXT(MONTH(A492),"00"))</f>
        <v/>
      </c>
      <c r="C492" s="34"/>
      <c r="D492" s="2"/>
      <c r="E492" s="35"/>
      <c r="F492" s="33"/>
      <c r="G492" s="34"/>
      <c r="H492" s="2"/>
      <c r="I492" s="2"/>
      <c r="J492" s="2"/>
      <c r="K492" s="2"/>
      <c r="L492" s="2"/>
      <c r="M492" s="2"/>
      <c r="N492" s="2"/>
      <c r="O492" s="2"/>
      <c r="P492" s="2"/>
      <c r="Q492" s="33"/>
      <c r="R492" s="34"/>
      <c r="S492" s="33"/>
    </row>
    <row r="493" customFormat="false" ht="15" hidden="false" customHeight="false" outlineLevel="0" collapsed="false">
      <c r="A493" s="35"/>
      <c r="B493" s="36" t="str">
        <f aca="false">IF(A493="","",YEAR(A493)&amp;"-"&amp;TEXT(MONTH(A493),"00"))</f>
        <v/>
      </c>
      <c r="C493" s="34"/>
      <c r="D493" s="2"/>
      <c r="E493" s="35"/>
      <c r="F493" s="33"/>
      <c r="G493" s="34"/>
      <c r="H493" s="2"/>
      <c r="I493" s="2"/>
      <c r="J493" s="2"/>
      <c r="K493" s="2"/>
      <c r="L493" s="2"/>
      <c r="M493" s="2"/>
      <c r="N493" s="2"/>
      <c r="O493" s="2"/>
      <c r="P493" s="2"/>
      <c r="Q493" s="33"/>
      <c r="R493" s="34"/>
      <c r="S493" s="33"/>
    </row>
    <row r="494" customFormat="false" ht="15" hidden="false" customHeight="false" outlineLevel="0" collapsed="false">
      <c r="A494" s="35"/>
      <c r="B494" s="36" t="str">
        <f aca="false">IF(A494="","",YEAR(A494)&amp;"-"&amp;TEXT(MONTH(A494),"00"))</f>
        <v/>
      </c>
      <c r="C494" s="34"/>
      <c r="D494" s="2"/>
      <c r="E494" s="35"/>
      <c r="F494" s="33"/>
      <c r="G494" s="34"/>
      <c r="H494" s="2"/>
      <c r="I494" s="2"/>
      <c r="J494" s="2"/>
      <c r="K494" s="2"/>
      <c r="L494" s="2"/>
      <c r="M494" s="2"/>
      <c r="N494" s="2"/>
      <c r="O494" s="2"/>
      <c r="P494" s="2"/>
      <c r="Q494" s="33"/>
      <c r="R494" s="34"/>
      <c r="S494" s="33"/>
    </row>
    <row r="495" customFormat="false" ht="15" hidden="false" customHeight="false" outlineLevel="0" collapsed="false">
      <c r="A495" s="35"/>
      <c r="B495" s="36" t="str">
        <f aca="false">IF(A495="","",YEAR(A495)&amp;"-"&amp;TEXT(MONTH(A495),"00"))</f>
        <v/>
      </c>
      <c r="C495" s="34"/>
      <c r="D495" s="2"/>
      <c r="E495" s="35"/>
      <c r="F495" s="33"/>
      <c r="G495" s="34"/>
      <c r="H495" s="2"/>
      <c r="I495" s="2"/>
      <c r="J495" s="2"/>
      <c r="K495" s="2"/>
      <c r="L495" s="2"/>
      <c r="M495" s="2"/>
      <c r="N495" s="2"/>
      <c r="O495" s="2"/>
      <c r="P495" s="2"/>
      <c r="Q495" s="33"/>
      <c r="R495" s="34"/>
      <c r="S495" s="33"/>
    </row>
    <row r="496" customFormat="false" ht="15" hidden="false" customHeight="false" outlineLevel="0" collapsed="false">
      <c r="A496" s="35"/>
      <c r="B496" s="36" t="str">
        <f aca="false">IF(A496="","",YEAR(A496)&amp;"-"&amp;TEXT(MONTH(A496),"00"))</f>
        <v/>
      </c>
      <c r="C496" s="34"/>
      <c r="D496" s="2"/>
      <c r="E496" s="35"/>
      <c r="F496" s="33"/>
      <c r="G496" s="34"/>
      <c r="H496" s="2"/>
      <c r="I496" s="2"/>
      <c r="J496" s="2"/>
      <c r="K496" s="2"/>
      <c r="L496" s="2"/>
      <c r="M496" s="2"/>
      <c r="N496" s="2"/>
      <c r="O496" s="2"/>
      <c r="P496" s="2"/>
      <c r="Q496" s="33"/>
      <c r="R496" s="34"/>
      <c r="S496" s="33"/>
    </row>
    <row r="497" customFormat="false" ht="15" hidden="false" customHeight="false" outlineLevel="0" collapsed="false">
      <c r="A497" s="35"/>
      <c r="B497" s="36" t="str">
        <f aca="false">IF(A497="","",YEAR(A497)&amp;"-"&amp;TEXT(MONTH(A497),"00"))</f>
        <v/>
      </c>
      <c r="C497" s="34"/>
      <c r="D497" s="2"/>
      <c r="E497" s="35"/>
      <c r="F497" s="33"/>
      <c r="G497" s="34"/>
      <c r="H497" s="2"/>
      <c r="I497" s="2"/>
      <c r="J497" s="2"/>
      <c r="K497" s="2"/>
      <c r="L497" s="2"/>
      <c r="M497" s="2"/>
      <c r="N497" s="2"/>
      <c r="O497" s="2"/>
      <c r="P497" s="2"/>
      <c r="Q497" s="33"/>
      <c r="R497" s="34"/>
      <c r="S497" s="33"/>
    </row>
    <row r="498" customFormat="false" ht="15" hidden="false" customHeight="false" outlineLevel="0" collapsed="false">
      <c r="A498" s="35"/>
      <c r="B498" s="36" t="str">
        <f aca="false">IF(A498="","",YEAR(A498)&amp;"-"&amp;TEXT(MONTH(A498),"00"))</f>
        <v/>
      </c>
      <c r="C498" s="34"/>
      <c r="D498" s="2"/>
      <c r="E498" s="35"/>
      <c r="F498" s="33"/>
      <c r="G498" s="34"/>
      <c r="H498" s="2"/>
      <c r="I498" s="2"/>
      <c r="J498" s="2"/>
      <c r="K498" s="2"/>
      <c r="L498" s="2"/>
      <c r="M498" s="2"/>
      <c r="N498" s="2"/>
      <c r="O498" s="2"/>
      <c r="P498" s="2"/>
      <c r="Q498" s="33"/>
      <c r="R498" s="34"/>
      <c r="S498" s="33"/>
    </row>
    <row r="499" customFormat="false" ht="15" hidden="false" customHeight="false" outlineLevel="0" collapsed="false">
      <c r="A499" s="35"/>
      <c r="B499" s="36" t="str">
        <f aca="false">IF(A499="","",YEAR(A499)&amp;"-"&amp;TEXT(MONTH(A499),"00"))</f>
        <v/>
      </c>
      <c r="C499" s="34"/>
      <c r="D499" s="2"/>
      <c r="E499" s="35"/>
      <c r="F499" s="33"/>
      <c r="G499" s="34"/>
      <c r="H499" s="2"/>
      <c r="I499" s="2"/>
      <c r="J499" s="2"/>
      <c r="K499" s="2"/>
      <c r="L499" s="2"/>
      <c r="M499" s="2"/>
      <c r="N499" s="2"/>
      <c r="O499" s="2"/>
      <c r="P499" s="2"/>
      <c r="Q499" s="33"/>
      <c r="R499" s="34"/>
      <c r="S499" s="33"/>
    </row>
    <row r="500" customFormat="false" ht="15" hidden="false" customHeight="false" outlineLevel="0" collapsed="false">
      <c r="A500" s="35"/>
      <c r="B500" s="36" t="str">
        <f aca="false">IF(A500="","",YEAR(A500)&amp;"-"&amp;TEXT(MONTH(A500),"00"))</f>
        <v/>
      </c>
      <c r="C500" s="34"/>
      <c r="D500" s="2"/>
      <c r="E500" s="35"/>
      <c r="F500" s="33"/>
      <c r="G500" s="34"/>
      <c r="H500" s="2"/>
      <c r="I500" s="2"/>
      <c r="J500" s="2"/>
      <c r="K500" s="2"/>
      <c r="L500" s="2"/>
      <c r="M500" s="2"/>
      <c r="N500" s="2"/>
      <c r="O500" s="2"/>
      <c r="P500" s="2"/>
      <c r="Q500" s="33"/>
      <c r="R500" s="34"/>
      <c r="S500" s="33"/>
    </row>
    <row r="501" customFormat="false" ht="15" hidden="false" customHeight="false" outlineLevel="0" collapsed="false">
      <c r="A501" s="35"/>
      <c r="B501" s="36" t="str">
        <f aca="false">IF(A501="","",YEAR(A501)&amp;"-"&amp;TEXT(MONTH(A501),"00"))</f>
        <v/>
      </c>
      <c r="C501" s="34"/>
      <c r="D501" s="2"/>
      <c r="E501" s="35"/>
      <c r="F501" s="33"/>
      <c r="G501" s="34"/>
      <c r="H501" s="2"/>
      <c r="I501" s="2"/>
      <c r="J501" s="2"/>
      <c r="K501" s="2"/>
      <c r="L501" s="2"/>
      <c r="M501" s="2"/>
      <c r="N501" s="2"/>
      <c r="O501" s="2"/>
      <c r="P501" s="2"/>
      <c r="Q501" s="33"/>
      <c r="R501" s="34"/>
      <c r="S501" s="33"/>
    </row>
    <row r="502" customFormat="false" ht="15" hidden="false" customHeight="false" outlineLevel="0" collapsed="false">
      <c r="A502" s="35"/>
      <c r="B502" s="36" t="str">
        <f aca="false">IF(A502="","",YEAR(A502)&amp;"-"&amp;TEXT(MONTH(A502),"00"))</f>
        <v/>
      </c>
      <c r="C502" s="34"/>
      <c r="D502" s="2"/>
      <c r="E502" s="35"/>
      <c r="F502" s="33"/>
      <c r="G502" s="34"/>
      <c r="H502" s="2"/>
      <c r="I502" s="2"/>
      <c r="J502" s="2"/>
      <c r="K502" s="2"/>
      <c r="L502" s="2"/>
      <c r="M502" s="2"/>
      <c r="N502" s="2"/>
      <c r="O502" s="2"/>
      <c r="P502" s="2"/>
      <c r="Q502" s="33"/>
      <c r="R502" s="34"/>
      <c r="S502" s="33"/>
    </row>
    <row r="503" customFormat="false" ht="15" hidden="false" customHeight="false" outlineLevel="0" collapsed="false">
      <c r="A503" s="35"/>
      <c r="B503" s="36" t="str">
        <f aca="false">IF(A503="","",YEAR(A503)&amp;"-"&amp;TEXT(MONTH(A503),"00"))</f>
        <v/>
      </c>
      <c r="C503" s="34"/>
      <c r="D503" s="2"/>
      <c r="E503" s="35"/>
      <c r="F503" s="33"/>
      <c r="G503" s="34"/>
      <c r="H503" s="2"/>
      <c r="I503" s="2"/>
      <c r="J503" s="2"/>
      <c r="K503" s="2"/>
      <c r="L503" s="2"/>
      <c r="M503" s="2"/>
      <c r="N503" s="2"/>
      <c r="O503" s="2"/>
      <c r="P503" s="2"/>
      <c r="Q503" s="33"/>
      <c r="R503" s="34"/>
      <c r="S503" s="33"/>
    </row>
    <row r="504" customFormat="false" ht="15" hidden="false" customHeight="false" outlineLevel="0" collapsed="false">
      <c r="A504" s="35"/>
      <c r="B504" s="36" t="str">
        <f aca="false">IF(A504="","",YEAR(A504)&amp;"-"&amp;TEXT(MONTH(A504),"00"))</f>
        <v/>
      </c>
      <c r="C504" s="34"/>
      <c r="D504" s="2"/>
      <c r="E504" s="35"/>
      <c r="F504" s="33"/>
      <c r="G504" s="34"/>
      <c r="H504" s="2"/>
      <c r="I504" s="2"/>
      <c r="J504" s="2"/>
      <c r="K504" s="2"/>
      <c r="L504" s="2"/>
      <c r="M504" s="2"/>
      <c r="N504" s="2"/>
      <c r="O504" s="2"/>
      <c r="P504" s="2"/>
      <c r="Q504" s="33"/>
      <c r="R504" s="34"/>
      <c r="S504" s="33"/>
    </row>
    <row r="505" customFormat="false" ht="15" hidden="false" customHeight="false" outlineLevel="0" collapsed="false">
      <c r="A505" s="35"/>
      <c r="B505" s="36" t="str">
        <f aca="false">IF(A505="","",YEAR(A505)&amp;"-"&amp;TEXT(MONTH(A505),"00"))</f>
        <v/>
      </c>
      <c r="C505" s="34"/>
      <c r="D505" s="2"/>
      <c r="E505" s="35"/>
      <c r="F505" s="33"/>
      <c r="G505" s="34"/>
      <c r="H505" s="2"/>
      <c r="I505" s="2"/>
      <c r="J505" s="2"/>
      <c r="K505" s="2"/>
      <c r="L505" s="2"/>
      <c r="M505" s="2"/>
      <c r="N505" s="2"/>
      <c r="O505" s="2"/>
      <c r="P505" s="2"/>
      <c r="Q505" s="33"/>
      <c r="R505" s="34"/>
      <c r="S505" s="33"/>
    </row>
    <row r="506" customFormat="false" ht="15" hidden="false" customHeight="false" outlineLevel="0" collapsed="false">
      <c r="A506" s="35"/>
      <c r="B506" s="36" t="str">
        <f aca="false">IF(A506="","",YEAR(A506)&amp;"-"&amp;TEXT(MONTH(A506),"00"))</f>
        <v/>
      </c>
      <c r="C506" s="34"/>
      <c r="D506" s="2"/>
      <c r="E506" s="35"/>
      <c r="F506" s="33"/>
      <c r="G506" s="34"/>
      <c r="H506" s="2"/>
      <c r="I506" s="2"/>
      <c r="J506" s="2"/>
      <c r="K506" s="2"/>
      <c r="L506" s="2"/>
      <c r="M506" s="2"/>
      <c r="N506" s="2"/>
      <c r="O506" s="2"/>
      <c r="P506" s="2"/>
      <c r="Q506" s="33"/>
      <c r="R506" s="34"/>
      <c r="S506" s="33"/>
    </row>
    <row r="507" customFormat="false" ht="15" hidden="false" customHeight="false" outlineLevel="0" collapsed="false">
      <c r="A507" s="35"/>
      <c r="B507" s="36" t="str">
        <f aca="false">IF(A507="","",YEAR(A507)&amp;"-"&amp;TEXT(MONTH(A507),"00"))</f>
        <v/>
      </c>
      <c r="C507" s="34"/>
      <c r="D507" s="2"/>
      <c r="E507" s="35"/>
      <c r="F507" s="33"/>
      <c r="G507" s="34"/>
      <c r="H507" s="2"/>
      <c r="I507" s="2"/>
      <c r="J507" s="2"/>
      <c r="K507" s="2"/>
      <c r="L507" s="2"/>
      <c r="M507" s="2"/>
      <c r="N507" s="2"/>
      <c r="O507" s="2"/>
      <c r="P507" s="2"/>
      <c r="Q507" s="33"/>
      <c r="R507" s="34"/>
      <c r="S507" s="33"/>
    </row>
  </sheetData>
  <conditionalFormatting sqref="M8:M40">
    <cfRule type="dataBar" priority="2">
      <dataBar showValue="1" minLength="10" maxLength="90">
        <cfvo type="num" val="0"/>
        <cfvo type="num" val="1"/>
        <color rgb="FF127A55"/>
      </dataBar>
      <extLst>
        <ext xmlns:x14="http://schemas.microsoft.com/office/spreadsheetml/2009/9/main" uri="{B025F937-C7B1-47D3-B67F-A62EFF666E3E}">
          <x14:id>{3AC2B13C-A8FD-4366-9DBA-ACD04B3025DC}</x14:id>
        </ext>
      </extLst>
    </cfRule>
  </conditionalFormatting>
  <conditionalFormatting sqref="O8:O40">
    <cfRule type="cellIs" priority="3" operator="equal" aboveAverage="0" equalAverage="0" bottom="0" percent="0" rank="0" text="" dxfId="1">
      <formula>"Atteint ✓"</formula>
    </cfRule>
    <cfRule type="cellIs" priority="4" operator="equal" aboveAverage="0" equalAverage="0" bottom="0" percent="0" rank="0" text="" dxfId="3">
      <formula>"Date dépassée"</formula>
    </cfRule>
  </conditionalFormatting>
  <dataValidations count="1">
    <dataValidation allowBlank="true" error="Choisis un objectif de la liste." errorStyle="stop" operator="between" showDropDown="false" showErrorMessage="true" showInputMessage="false" sqref="Q8:Q507" type="list">
      <formula1>$I$8:$I$40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C2B13C-A8FD-4366-9DBA-ACD04B3025D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27A55"/>
              <x14:axisColor rgb="FF000000"/>
            </x14:dataBar>
          </x14:cfRule>
          <xm:sqref>M8:M40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4" min="3" style="0" width="9"/>
    <col collapsed="false" customWidth="true" hidden="false" outlineLevel="0" max="6" min="5" style="0" width="12"/>
    <col collapsed="false" customWidth="true" hidden="false" outlineLevel="0" max="8" min="7" style="0" width="13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7" min="13" style="0" width="13"/>
    <col collapsed="false" customWidth="true" hidden="false" outlineLevel="0" max="18" min="18" style="0" width="11"/>
  </cols>
  <sheetData>
    <row r="1" customFormat="false" ht="27.75" hidden="false" customHeight="true" outlineLevel="0" collapsed="false">
      <c r="A1" s="25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3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Format="false" ht="30" hidden="false" customHeight="true" outlineLevel="0" collapsed="false">
      <c r="A4" s="10" t="s">
        <v>67</v>
      </c>
      <c r="B4" s="10" t="s">
        <v>106</v>
      </c>
      <c r="C4" s="10" t="s">
        <v>107</v>
      </c>
      <c r="D4" s="10" t="s">
        <v>108</v>
      </c>
      <c r="E4" s="10" t="s">
        <v>109</v>
      </c>
      <c r="F4" s="10" t="s">
        <v>110</v>
      </c>
      <c r="G4" s="10" t="s">
        <v>111</v>
      </c>
      <c r="H4" s="10" t="s">
        <v>112</v>
      </c>
      <c r="I4" s="10" t="s">
        <v>113</v>
      </c>
      <c r="J4" s="10" t="s">
        <v>114</v>
      </c>
      <c r="K4" s="10" t="s">
        <v>115</v>
      </c>
      <c r="L4" s="10" t="s">
        <v>116</v>
      </c>
      <c r="M4" s="10" t="s">
        <v>117</v>
      </c>
      <c r="N4" s="10" t="s">
        <v>118</v>
      </c>
      <c r="O4" s="10" t="s">
        <v>63</v>
      </c>
      <c r="P4" s="10" t="s">
        <v>119</v>
      </c>
      <c r="Q4" s="10" t="s">
        <v>120</v>
      </c>
      <c r="R4" s="10" t="s">
        <v>68</v>
      </c>
    </row>
    <row r="5" customFormat="false" ht="15" hidden="false" customHeight="false" outlineLevel="0" collapsed="false">
      <c r="A5" s="37" t="s">
        <v>79</v>
      </c>
      <c r="B5" s="34" t="n">
        <v>1400</v>
      </c>
      <c r="C5" s="42" t="n">
        <v>15</v>
      </c>
      <c r="D5" s="42" t="n">
        <v>0</v>
      </c>
      <c r="E5" s="34" t="n">
        <v>0</v>
      </c>
      <c r="F5" s="13" t="n">
        <f aca="false">IF($A5="","",MAX(0,Paramètres!$B$9+C5*(Paramètres!$B$10+Paramètres!$B$11)-D5*Paramètres!$B$14*Paramètres!$B$13))</f>
        <v>1547.35</v>
      </c>
      <c r="G5" s="13" t="n">
        <f aca="false">IF($A5="","",MAX(0,Paramètres!$B$15+Paramètres!$B$17*(F5-Paramètres!$B$16)))</f>
        <v>208.38131</v>
      </c>
      <c r="H5" s="13" t="n">
        <f aca="false">IF($A5="","",MAX(0,ROUND(F5-G5+C5*Paramètres!$B$12,2)))</f>
        <v>1494.97</v>
      </c>
      <c r="I5" s="13" t="n">
        <f aca="false">IF($A5="","",IF(B5="",H5,B5))</f>
        <v>1400</v>
      </c>
      <c r="J5" s="2" t="str">
        <f aca="false">IF($A5="","",IF(B5="","≈ estimé","reçu"))</f>
        <v>reçu</v>
      </c>
      <c r="K5" s="13" t="n">
        <f aca="false">IF($A5="","",SUMIFS(Charges!$C$5:$C$504,Charges!$A$5:$A$504,A5))</f>
        <v>470</v>
      </c>
      <c r="L5" s="13" t="n">
        <f aca="false">IF($A5="","",SUMIFS(Charges!$C$5:$C$504,Charges!$A$5:$A$504,A5,Charges!$E$5:$E$504,"Oui"))</f>
        <v>470</v>
      </c>
      <c r="M5" s="13" t="n">
        <f aca="false">IF($A5="","",SUMIFS(Épargne!$C$8:$C$507,Épargne!$B$8:$B$507,A5))</f>
        <v>0</v>
      </c>
      <c r="N5" s="13" t="n">
        <f aca="false">IF($A5="","",IF(A5&lt;Paramètres!$B$4,M5,MAX(E5,M5)))</f>
        <v>0</v>
      </c>
      <c r="O5" s="13" t="n">
        <f aca="false">IF($A5="","",SUMIFS(Dépenses!$B$5:$B$504,Dépenses!$E$5:$E$504,A5))</f>
        <v>95</v>
      </c>
      <c r="P5" s="13" t="n">
        <f aca="true">IF($A5="","",IF(A5&gt;Paramètres!$B$4,0,SUMIFS(Dépenses!$B$5:$B$504,Dépenses!$E$5:$E$504,A5,Dépenses!$A$5:$A$504,"&lt;="&amp;TODAY())))</f>
        <v>95</v>
      </c>
      <c r="Q5" s="13" t="n">
        <f aca="false">IF($A5="","",I5-K5-N5-O5)</f>
        <v>835</v>
      </c>
      <c r="R5" s="2" t="str">
        <f aca="false">IF($A5="","",IF(A5&lt;Paramètres!$B$4,"terminé",IF(A5=Paramètres!$B$4,"en cours","à venir")))</f>
        <v>terminé</v>
      </c>
    </row>
    <row r="6" customFormat="false" ht="15" hidden="false" customHeight="false" outlineLevel="0" collapsed="false">
      <c r="A6" s="37" t="s">
        <v>3</v>
      </c>
      <c r="B6" s="34"/>
      <c r="C6" s="42" t="n">
        <v>15</v>
      </c>
      <c r="D6" s="42" t="n">
        <v>0</v>
      </c>
      <c r="E6" s="34" t="n">
        <v>0</v>
      </c>
      <c r="F6" s="13" t="n">
        <f aca="false">IF($A6="","",MAX(0,Paramètres!$B$9+C6*(Paramètres!$B$10+Paramètres!$B$11)-D6*Paramètres!$B$14*Paramètres!$B$13))</f>
        <v>1547.35</v>
      </c>
      <c r="G6" s="13" t="n">
        <f aca="false">IF($A6="","",MAX(0,Paramètres!$B$15+Paramètres!$B$17*(F6-Paramètres!$B$16)))</f>
        <v>208.38131</v>
      </c>
      <c r="H6" s="13" t="n">
        <f aca="false">IF($A6="","",MAX(0,ROUND(F6-G6+C6*Paramètres!$B$12,2)))</f>
        <v>1494.97</v>
      </c>
      <c r="I6" s="13" t="n">
        <f aca="false">IF($A6="","",IF(B6="",H6,B6))</f>
        <v>1494.97</v>
      </c>
      <c r="J6" s="2" t="str">
        <f aca="false">IF($A6="","",IF(B6="","≈ estimé","reçu"))</f>
        <v>≈ estimé</v>
      </c>
      <c r="K6" s="13" t="n">
        <f aca="false">IF($A6="","",SUMIFS(Charges!$C$5:$C$504,Charges!$A$5:$A$504,A6))</f>
        <v>470</v>
      </c>
      <c r="L6" s="13" t="n">
        <f aca="false">IF($A6="","",SUMIFS(Charges!$C$5:$C$504,Charges!$A$5:$A$504,A6,Charges!$E$5:$E$504,"Oui"))</f>
        <v>450</v>
      </c>
      <c r="M6" s="13" t="n">
        <f aca="false">IF($A6="","",SUMIFS(Épargne!$C$8:$C$507,Épargne!$B$8:$B$507,A6))</f>
        <v>100</v>
      </c>
      <c r="N6" s="13" t="n">
        <f aca="false">IF($A6="","",IF(A6&lt;Paramètres!$B$4,M6,MAX(E6,M6)))</f>
        <v>100</v>
      </c>
      <c r="O6" s="13" t="n">
        <f aca="false">IF($A6="","",SUMIFS(Dépenses!$B$5:$B$504,Dépenses!$E$5:$E$504,A6))</f>
        <v>160</v>
      </c>
      <c r="P6" s="13" t="n">
        <f aca="true">IF($A6="","",IF(A6&gt;Paramètres!$B$4,0,SUMIFS(Dépenses!$B$5:$B$504,Dépenses!$E$5:$E$504,A6,Dépenses!$A$5:$A$504,"&lt;="&amp;TODAY())))</f>
        <v>80</v>
      </c>
      <c r="Q6" s="13" t="n">
        <f aca="false">IF($A6="","",I6-K6-N6-O6)</f>
        <v>764.97</v>
      </c>
      <c r="R6" s="2" t="str">
        <f aca="false">IF($A6="","",IF(A6&lt;Paramètres!$B$4,"terminé",IF(A6=Paramètres!$B$4,"en cours","à venir")))</f>
        <v>en cours</v>
      </c>
    </row>
    <row r="7" customFormat="false" ht="15" hidden="false" customHeight="false" outlineLevel="0" collapsed="false">
      <c r="A7" s="37" t="s">
        <v>33</v>
      </c>
      <c r="B7" s="34"/>
      <c r="C7" s="42" t="n">
        <v>15</v>
      </c>
      <c r="D7" s="42" t="n">
        <v>0</v>
      </c>
      <c r="E7" s="34" t="n">
        <v>300</v>
      </c>
      <c r="F7" s="13" t="n">
        <f aca="false">IF($A7="","",MAX(0,Paramètres!$B$9+C7*(Paramètres!$B$10+Paramètres!$B$11)-D7*Paramètres!$B$14*Paramètres!$B$13))</f>
        <v>1547.35</v>
      </c>
      <c r="G7" s="13" t="n">
        <f aca="false">IF($A7="","",MAX(0,Paramètres!$B$15+Paramètres!$B$17*(F7-Paramètres!$B$16)))</f>
        <v>208.38131</v>
      </c>
      <c r="H7" s="13" t="n">
        <f aca="false">IF($A7="","",MAX(0,ROUND(F7-G7+C7*Paramètres!$B$12,2)))</f>
        <v>1494.97</v>
      </c>
      <c r="I7" s="13" t="n">
        <f aca="false">IF($A7="","",IF(B7="",H7,B7))</f>
        <v>1494.97</v>
      </c>
      <c r="J7" s="2" t="str">
        <f aca="false">IF($A7="","",IF(B7="","≈ estimé","reçu"))</f>
        <v>≈ estimé</v>
      </c>
      <c r="K7" s="13" t="n">
        <f aca="false">IF($A7="","",SUMIFS(Charges!$C$5:$C$504,Charges!$A$5:$A$504,A7))</f>
        <v>470</v>
      </c>
      <c r="L7" s="13" t="n">
        <f aca="false">IF($A7="","",SUMIFS(Charges!$C$5:$C$504,Charges!$A$5:$A$504,A7,Charges!$E$5:$E$504,"Oui"))</f>
        <v>0</v>
      </c>
      <c r="M7" s="13" t="n">
        <f aca="false">IF($A7="","",SUMIFS(Épargne!$C$8:$C$507,Épargne!$B$8:$B$507,A7))</f>
        <v>0</v>
      </c>
      <c r="N7" s="13" t="n">
        <f aca="false">IF($A7="","",IF(A7&lt;Paramètres!$B$4,M7,MAX(E7,M7)))</f>
        <v>300</v>
      </c>
      <c r="O7" s="13" t="n">
        <f aca="false">IF($A7="","",SUMIFS(Dépenses!$B$5:$B$504,Dépenses!$E$5:$E$504,A7))</f>
        <v>0</v>
      </c>
      <c r="P7" s="13" t="n">
        <f aca="true">IF($A7="","",IF(A7&gt;Paramètres!$B$4,0,SUMIFS(Dépenses!$B$5:$B$504,Dépenses!$E$5:$E$504,A7,Dépenses!$A$5:$A$504,"&lt;="&amp;TODAY())))</f>
        <v>0</v>
      </c>
      <c r="Q7" s="13" t="n">
        <f aca="false">IF($A7="","",I7-K7-N7-O7)</f>
        <v>724.97</v>
      </c>
      <c r="R7" s="2" t="str">
        <f aca="false">IF($A7="","",IF(A7&lt;Paramètres!$B$4,"terminé",IF(A7=Paramètres!$B$4,"en cours","à venir")))</f>
        <v>à venir</v>
      </c>
    </row>
    <row r="8" customFormat="false" ht="15" hidden="false" customHeight="false" outlineLevel="0" collapsed="false">
      <c r="A8" s="37" t="s">
        <v>84</v>
      </c>
      <c r="B8" s="34"/>
      <c r="C8" s="42" t="n">
        <v>15</v>
      </c>
      <c r="D8" s="42" t="n">
        <v>0</v>
      </c>
      <c r="E8" s="34" t="n">
        <v>0</v>
      </c>
      <c r="F8" s="13" t="n">
        <f aca="false">IF($A8="","",MAX(0,Paramètres!$B$9+C8*(Paramètres!$B$10+Paramètres!$B$11)-D8*Paramètres!$B$14*Paramètres!$B$13))</f>
        <v>1547.35</v>
      </c>
      <c r="G8" s="13" t="n">
        <f aca="false">IF($A8="","",MAX(0,Paramètres!$B$15+Paramètres!$B$17*(F8-Paramètres!$B$16)))</f>
        <v>208.38131</v>
      </c>
      <c r="H8" s="13" t="n">
        <f aca="false">IF($A8="","",MAX(0,ROUND(F8-G8+C8*Paramètres!$B$12,2)))</f>
        <v>1494.97</v>
      </c>
      <c r="I8" s="13" t="n">
        <f aca="false">IF($A8="","",IF(B8="",H8,B8))</f>
        <v>1494.97</v>
      </c>
      <c r="J8" s="2" t="str">
        <f aca="false">IF($A8="","",IF(B8="","≈ estimé","reçu"))</f>
        <v>≈ estimé</v>
      </c>
      <c r="K8" s="13" t="n">
        <f aca="false">IF($A8="","",SUMIFS(Charges!$C$5:$C$504,Charges!$A$5:$A$504,A8))</f>
        <v>470</v>
      </c>
      <c r="L8" s="13" t="n">
        <f aca="false">IF($A8="","",SUMIFS(Charges!$C$5:$C$504,Charges!$A$5:$A$504,A8,Charges!$E$5:$E$504,"Oui"))</f>
        <v>0</v>
      </c>
      <c r="M8" s="13" t="n">
        <f aca="false">IF($A8="","",SUMIFS(Épargne!$C$8:$C$507,Épargne!$B$8:$B$507,A8))</f>
        <v>0</v>
      </c>
      <c r="N8" s="13" t="n">
        <f aca="false">IF($A8="","",IF(A8&lt;Paramètres!$B$4,M8,MAX(E8,M8)))</f>
        <v>0</v>
      </c>
      <c r="O8" s="13" t="n">
        <f aca="false">IF($A8="","",SUMIFS(Dépenses!$B$5:$B$504,Dépenses!$E$5:$E$504,A8))</f>
        <v>0</v>
      </c>
      <c r="P8" s="13" t="n">
        <f aca="true">IF($A8="","",IF(A8&gt;Paramètres!$B$4,0,SUMIFS(Dépenses!$B$5:$B$504,Dépenses!$E$5:$E$504,A8,Dépenses!$A$5:$A$504,"&lt;="&amp;TODAY())))</f>
        <v>0</v>
      </c>
      <c r="Q8" s="13" t="n">
        <f aca="false">IF($A8="","",I8-K8-N8-O8)</f>
        <v>1024.97</v>
      </c>
      <c r="R8" s="2" t="str">
        <f aca="false">IF($A8="","",IF(A8&lt;Paramètres!$B$4,"terminé",IF(A8=Paramètres!$B$4,"en cours","à venir")))</f>
        <v>à venir</v>
      </c>
    </row>
    <row r="9" customFormat="false" ht="15" hidden="false" customHeight="false" outlineLevel="0" collapsed="false">
      <c r="A9" s="37" t="s">
        <v>85</v>
      </c>
      <c r="B9" s="34"/>
      <c r="C9" s="42" t="n">
        <v>15</v>
      </c>
      <c r="D9" s="42" t="n">
        <v>0</v>
      </c>
      <c r="E9" s="34" t="n">
        <v>300</v>
      </c>
      <c r="F9" s="13" t="n">
        <f aca="false">IF($A9="","",MAX(0,Paramètres!$B$9+C9*(Paramètres!$B$10+Paramètres!$B$11)-D9*Paramètres!$B$14*Paramètres!$B$13))</f>
        <v>1547.35</v>
      </c>
      <c r="G9" s="13" t="n">
        <f aca="false">IF($A9="","",MAX(0,Paramètres!$B$15+Paramètres!$B$17*(F9-Paramètres!$B$16)))</f>
        <v>208.38131</v>
      </c>
      <c r="H9" s="13" t="n">
        <f aca="false">IF($A9="","",MAX(0,ROUND(F9-G9+C9*Paramètres!$B$12,2)))</f>
        <v>1494.97</v>
      </c>
      <c r="I9" s="13" t="n">
        <f aca="false">IF($A9="","",IF(B9="",H9,B9))</f>
        <v>1494.97</v>
      </c>
      <c r="J9" s="2" t="str">
        <f aca="false">IF($A9="","",IF(B9="","≈ estimé","reçu"))</f>
        <v>≈ estimé</v>
      </c>
      <c r="K9" s="13" t="n">
        <f aca="false">IF($A9="","",SUMIFS(Charges!$C$5:$C$504,Charges!$A$5:$A$504,A9))</f>
        <v>470</v>
      </c>
      <c r="L9" s="13" t="n">
        <f aca="false">IF($A9="","",SUMIFS(Charges!$C$5:$C$504,Charges!$A$5:$A$504,A9,Charges!$E$5:$E$504,"Oui"))</f>
        <v>0</v>
      </c>
      <c r="M9" s="13" t="n">
        <f aca="false">IF($A9="","",SUMIFS(Épargne!$C$8:$C$507,Épargne!$B$8:$B$507,A9))</f>
        <v>0</v>
      </c>
      <c r="N9" s="13" t="n">
        <f aca="false">IF($A9="","",IF(A9&lt;Paramètres!$B$4,M9,MAX(E9,M9)))</f>
        <v>300</v>
      </c>
      <c r="O9" s="13" t="n">
        <f aca="false">IF($A9="","",SUMIFS(Dépenses!$B$5:$B$504,Dépenses!$E$5:$E$504,A9))</f>
        <v>0</v>
      </c>
      <c r="P9" s="13" t="n">
        <f aca="true">IF($A9="","",IF(A9&gt;Paramètres!$B$4,0,SUMIFS(Dépenses!$B$5:$B$504,Dépenses!$E$5:$E$504,A9,Dépenses!$A$5:$A$504,"&lt;="&amp;TODAY())))</f>
        <v>0</v>
      </c>
      <c r="Q9" s="13" t="n">
        <f aca="false">IF($A9="","",I9-K9-N9-O9)</f>
        <v>724.97</v>
      </c>
      <c r="R9" s="2" t="str">
        <f aca="false">IF($A9="","",IF(A9&lt;Paramètres!$B$4,"terminé",IF(A9=Paramètres!$B$4,"en cours","à venir")))</f>
        <v>à venir</v>
      </c>
    </row>
    <row r="10" customFormat="false" ht="15" hidden="false" customHeight="false" outlineLevel="0" collapsed="false">
      <c r="A10" s="37" t="s">
        <v>86</v>
      </c>
      <c r="B10" s="34"/>
      <c r="C10" s="42" t="n">
        <v>15</v>
      </c>
      <c r="D10" s="42" t="n">
        <v>0</v>
      </c>
      <c r="E10" s="34" t="n">
        <v>300</v>
      </c>
      <c r="F10" s="13" t="n">
        <f aca="false">IF($A10="","",MAX(0,Paramètres!$B$9+C10*(Paramètres!$B$10+Paramètres!$B$11)-D10*Paramètres!$B$14*Paramètres!$B$13))</f>
        <v>1547.35</v>
      </c>
      <c r="G10" s="13" t="n">
        <f aca="false">IF($A10="","",MAX(0,Paramètres!$B$15+Paramètres!$B$17*(F10-Paramètres!$B$16)))</f>
        <v>208.38131</v>
      </c>
      <c r="H10" s="13" t="n">
        <f aca="false">IF($A10="","",MAX(0,ROUND(F10-G10+C10*Paramètres!$B$12,2)))</f>
        <v>1494.97</v>
      </c>
      <c r="I10" s="13" t="n">
        <f aca="false">IF($A10="","",IF(B10="",H10,B10))</f>
        <v>1494.97</v>
      </c>
      <c r="J10" s="2" t="str">
        <f aca="false">IF($A10="","",IF(B10="","≈ estimé","reçu"))</f>
        <v>≈ estimé</v>
      </c>
      <c r="K10" s="13" t="n">
        <f aca="false">IF($A10="","",SUMIFS(Charges!$C$5:$C$504,Charges!$A$5:$A$504,A10))</f>
        <v>470</v>
      </c>
      <c r="L10" s="13" t="n">
        <f aca="false">IF($A10="","",SUMIFS(Charges!$C$5:$C$504,Charges!$A$5:$A$504,A10,Charges!$E$5:$E$504,"Oui"))</f>
        <v>0</v>
      </c>
      <c r="M10" s="13" t="n">
        <f aca="false">IF($A10="","",SUMIFS(Épargne!$C$8:$C$507,Épargne!$B$8:$B$507,A10))</f>
        <v>0</v>
      </c>
      <c r="N10" s="13" t="n">
        <f aca="false">IF($A10="","",IF(A10&lt;Paramètres!$B$4,M10,MAX(E10,M10)))</f>
        <v>300</v>
      </c>
      <c r="O10" s="13" t="n">
        <f aca="false">IF($A10="","",SUMIFS(Dépenses!$B$5:$B$504,Dépenses!$E$5:$E$504,A10))</f>
        <v>0</v>
      </c>
      <c r="P10" s="13" t="n">
        <f aca="true">IF($A10="","",IF(A10&gt;Paramètres!$B$4,0,SUMIFS(Dépenses!$B$5:$B$504,Dépenses!$E$5:$E$504,A10,Dépenses!$A$5:$A$504,"&lt;="&amp;TODAY())))</f>
        <v>0</v>
      </c>
      <c r="Q10" s="13" t="n">
        <f aca="false">IF($A10="","",I10-K10-N10-O10)</f>
        <v>724.97</v>
      </c>
      <c r="R10" s="2" t="str">
        <f aca="false">IF($A10="","",IF(A10&lt;Paramètres!$B$4,"terminé",IF(A10=Paramètres!$B$4,"en cours","à venir")))</f>
        <v>à venir</v>
      </c>
    </row>
    <row r="11" customFormat="false" ht="15" hidden="false" customHeight="false" outlineLevel="0" collapsed="false">
      <c r="A11" s="37"/>
      <c r="B11" s="34"/>
      <c r="C11" s="42"/>
      <c r="D11" s="42"/>
      <c r="E11" s="34"/>
      <c r="F11" s="13" t="str">
        <f aca="false">IF($A11="","",MAX(0,Paramètres!$B$9+C11*(Paramètres!$B$10+Paramètres!$B$11)-D11*Paramètres!$B$14*Paramètres!$B$13))</f>
        <v/>
      </c>
      <c r="G11" s="13" t="str">
        <f aca="false">IF($A11="","",MAX(0,Paramètres!$B$15+Paramètres!$B$17*(F11-Paramètres!$B$16)))</f>
        <v/>
      </c>
      <c r="H11" s="13" t="str">
        <f aca="false">IF($A11="","",MAX(0,ROUND(F11-G11+C11*Paramètres!$B$12,2)))</f>
        <v/>
      </c>
      <c r="I11" s="13" t="str">
        <f aca="false">IF($A11="","",IF(B11="",H11,B11))</f>
        <v/>
      </c>
      <c r="J11" s="2" t="str">
        <f aca="false">IF($A11="","",IF(B11="","≈ estimé","reçu"))</f>
        <v/>
      </c>
      <c r="K11" s="13" t="str">
        <f aca="false">IF($A11="","",SUMIFS(Charges!$C$5:$C$504,Charges!$A$5:$A$504,A11))</f>
        <v/>
      </c>
      <c r="L11" s="13" t="str">
        <f aca="false">IF($A11="","",SUMIFS(Charges!$C$5:$C$504,Charges!$A$5:$A$504,A11,Charges!$E$5:$E$504,"Oui"))</f>
        <v/>
      </c>
      <c r="M11" s="13" t="str">
        <f aca="false">IF($A11="","",SUMIFS(Épargne!$C$8:$C$507,Épargne!$B$8:$B$507,A11))</f>
        <v/>
      </c>
      <c r="N11" s="13" t="str">
        <f aca="false">IF($A11="","",IF(A11&lt;Paramètres!$B$4,M11,MAX(E11,M11)))</f>
        <v/>
      </c>
      <c r="O11" s="13" t="str">
        <f aca="false">IF($A11="","",SUMIFS(Dépenses!$B$5:$B$504,Dépenses!$E$5:$E$504,A11))</f>
        <v/>
      </c>
      <c r="P11" s="13" t="str">
        <f aca="true">IF($A11="","",IF(A11&gt;Paramètres!$B$4,0,SUMIFS(Dépenses!$B$5:$B$504,Dépenses!$E$5:$E$504,A11,Dépenses!$A$5:$A$504,"&lt;="&amp;TODAY())))</f>
        <v/>
      </c>
      <c r="Q11" s="13" t="str">
        <f aca="false">IF($A11="","",I11-K11-N11-O11)</f>
        <v/>
      </c>
      <c r="R11" s="2" t="str">
        <f aca="false">IF($A11="","",IF(A11&lt;Paramètres!$B$4,"terminé",IF(A11=Paramètres!$B$4,"en cours","à venir")))</f>
        <v/>
      </c>
    </row>
    <row r="12" customFormat="false" ht="15" hidden="false" customHeight="false" outlineLevel="0" collapsed="false">
      <c r="A12" s="37"/>
      <c r="B12" s="34"/>
      <c r="C12" s="42"/>
      <c r="D12" s="42"/>
      <c r="E12" s="34"/>
      <c r="F12" s="13" t="str">
        <f aca="false">IF($A12="","",MAX(0,Paramètres!$B$9+C12*(Paramètres!$B$10+Paramètres!$B$11)-D12*Paramètres!$B$14*Paramètres!$B$13))</f>
        <v/>
      </c>
      <c r="G12" s="13" t="str">
        <f aca="false">IF($A12="","",MAX(0,Paramètres!$B$15+Paramètres!$B$17*(F12-Paramètres!$B$16)))</f>
        <v/>
      </c>
      <c r="H12" s="13" t="str">
        <f aca="false">IF($A12="","",MAX(0,ROUND(F12-G12+C12*Paramètres!$B$12,2)))</f>
        <v/>
      </c>
      <c r="I12" s="13" t="str">
        <f aca="false">IF($A12="","",IF(B12="",H12,B12))</f>
        <v/>
      </c>
      <c r="J12" s="2" t="str">
        <f aca="false">IF($A12="","",IF(B12="","≈ estimé","reçu"))</f>
        <v/>
      </c>
      <c r="K12" s="13" t="str">
        <f aca="false">IF($A12="","",SUMIFS(Charges!$C$5:$C$504,Charges!$A$5:$A$504,A12))</f>
        <v/>
      </c>
      <c r="L12" s="13" t="str">
        <f aca="false">IF($A12="","",SUMIFS(Charges!$C$5:$C$504,Charges!$A$5:$A$504,A12,Charges!$E$5:$E$504,"Oui"))</f>
        <v/>
      </c>
      <c r="M12" s="13" t="str">
        <f aca="false">IF($A12="","",SUMIFS(Épargne!$C$8:$C$507,Épargne!$B$8:$B$507,A12))</f>
        <v/>
      </c>
      <c r="N12" s="13" t="str">
        <f aca="false">IF($A12="","",IF(A12&lt;Paramètres!$B$4,M12,MAX(E12,M12)))</f>
        <v/>
      </c>
      <c r="O12" s="13" t="str">
        <f aca="false">IF($A12="","",SUMIFS(Dépenses!$B$5:$B$504,Dépenses!$E$5:$E$504,A12))</f>
        <v/>
      </c>
      <c r="P12" s="13" t="str">
        <f aca="true">IF($A12="","",IF(A12&gt;Paramètres!$B$4,0,SUMIFS(Dépenses!$B$5:$B$504,Dépenses!$E$5:$E$504,A12,Dépenses!$A$5:$A$504,"&lt;="&amp;TODAY())))</f>
        <v/>
      </c>
      <c r="Q12" s="13" t="str">
        <f aca="false">IF($A12="","",I12-K12-N12-O12)</f>
        <v/>
      </c>
      <c r="R12" s="2" t="str">
        <f aca="false">IF($A12="","",IF(A12&lt;Paramètres!$B$4,"terminé",IF(A12=Paramètres!$B$4,"en cours","à venir")))</f>
        <v/>
      </c>
    </row>
    <row r="13" customFormat="false" ht="15" hidden="false" customHeight="false" outlineLevel="0" collapsed="false">
      <c r="A13" s="37"/>
      <c r="B13" s="34"/>
      <c r="C13" s="42"/>
      <c r="D13" s="42"/>
      <c r="E13" s="34"/>
      <c r="F13" s="13" t="str">
        <f aca="false">IF($A13="","",MAX(0,Paramètres!$B$9+C13*(Paramètres!$B$10+Paramètres!$B$11)-D13*Paramètres!$B$14*Paramètres!$B$13))</f>
        <v/>
      </c>
      <c r="G13" s="13" t="str">
        <f aca="false">IF($A13="","",MAX(0,Paramètres!$B$15+Paramètres!$B$17*(F13-Paramètres!$B$16)))</f>
        <v/>
      </c>
      <c r="H13" s="13" t="str">
        <f aca="false">IF($A13="","",MAX(0,ROUND(F13-G13+C13*Paramètres!$B$12,2)))</f>
        <v/>
      </c>
      <c r="I13" s="13" t="str">
        <f aca="false">IF($A13="","",IF(B13="",H13,B13))</f>
        <v/>
      </c>
      <c r="J13" s="2" t="str">
        <f aca="false">IF($A13="","",IF(B13="","≈ estimé","reçu"))</f>
        <v/>
      </c>
      <c r="K13" s="13" t="str">
        <f aca="false">IF($A13="","",SUMIFS(Charges!$C$5:$C$504,Charges!$A$5:$A$504,A13))</f>
        <v/>
      </c>
      <c r="L13" s="13" t="str">
        <f aca="false">IF($A13="","",SUMIFS(Charges!$C$5:$C$504,Charges!$A$5:$A$504,A13,Charges!$E$5:$E$504,"Oui"))</f>
        <v/>
      </c>
      <c r="M13" s="13" t="str">
        <f aca="false">IF($A13="","",SUMIFS(Épargne!$C$8:$C$507,Épargne!$B$8:$B$507,A13))</f>
        <v/>
      </c>
      <c r="N13" s="13" t="str">
        <f aca="false">IF($A13="","",IF(A13&lt;Paramètres!$B$4,M13,MAX(E13,M13)))</f>
        <v/>
      </c>
      <c r="O13" s="13" t="str">
        <f aca="false">IF($A13="","",SUMIFS(Dépenses!$B$5:$B$504,Dépenses!$E$5:$E$504,A13))</f>
        <v/>
      </c>
      <c r="P13" s="13" t="str">
        <f aca="true">IF($A13="","",IF(A13&gt;Paramètres!$B$4,0,SUMIFS(Dépenses!$B$5:$B$504,Dépenses!$E$5:$E$504,A13,Dépenses!$A$5:$A$504,"&lt;="&amp;TODAY())))</f>
        <v/>
      </c>
      <c r="Q13" s="13" t="str">
        <f aca="false">IF($A13="","",I13-K13-N13-O13)</f>
        <v/>
      </c>
      <c r="R13" s="2" t="str">
        <f aca="false">IF($A13="","",IF(A13&lt;Paramètres!$B$4,"terminé",IF(A13=Paramètres!$B$4,"en cours","à venir")))</f>
        <v/>
      </c>
    </row>
    <row r="14" customFormat="false" ht="15" hidden="false" customHeight="false" outlineLevel="0" collapsed="false">
      <c r="A14" s="37"/>
      <c r="B14" s="34"/>
      <c r="C14" s="42"/>
      <c r="D14" s="42"/>
      <c r="E14" s="34"/>
      <c r="F14" s="13" t="str">
        <f aca="false">IF($A14="","",MAX(0,Paramètres!$B$9+C14*(Paramètres!$B$10+Paramètres!$B$11)-D14*Paramètres!$B$14*Paramètres!$B$13))</f>
        <v/>
      </c>
      <c r="G14" s="13" t="str">
        <f aca="false">IF($A14="","",MAX(0,Paramètres!$B$15+Paramètres!$B$17*(F14-Paramètres!$B$16)))</f>
        <v/>
      </c>
      <c r="H14" s="13" t="str">
        <f aca="false">IF($A14="","",MAX(0,ROUND(F14-G14+C14*Paramètres!$B$12,2)))</f>
        <v/>
      </c>
      <c r="I14" s="13" t="str">
        <f aca="false">IF($A14="","",IF(B14="",H14,B14))</f>
        <v/>
      </c>
      <c r="J14" s="2" t="str">
        <f aca="false">IF($A14="","",IF(B14="","≈ estimé","reçu"))</f>
        <v/>
      </c>
      <c r="K14" s="13" t="str">
        <f aca="false">IF($A14="","",SUMIFS(Charges!$C$5:$C$504,Charges!$A$5:$A$504,A14))</f>
        <v/>
      </c>
      <c r="L14" s="13" t="str">
        <f aca="false">IF($A14="","",SUMIFS(Charges!$C$5:$C$504,Charges!$A$5:$A$504,A14,Charges!$E$5:$E$504,"Oui"))</f>
        <v/>
      </c>
      <c r="M14" s="13" t="str">
        <f aca="false">IF($A14="","",SUMIFS(Épargne!$C$8:$C$507,Épargne!$B$8:$B$507,A14))</f>
        <v/>
      </c>
      <c r="N14" s="13" t="str">
        <f aca="false">IF($A14="","",IF(A14&lt;Paramètres!$B$4,M14,MAX(E14,M14)))</f>
        <v/>
      </c>
      <c r="O14" s="13" t="str">
        <f aca="false">IF($A14="","",SUMIFS(Dépenses!$B$5:$B$504,Dépenses!$E$5:$E$504,A14))</f>
        <v/>
      </c>
      <c r="P14" s="13" t="str">
        <f aca="true">IF($A14="","",IF(A14&gt;Paramètres!$B$4,0,SUMIFS(Dépenses!$B$5:$B$504,Dépenses!$E$5:$E$504,A14,Dépenses!$A$5:$A$504,"&lt;="&amp;TODAY())))</f>
        <v/>
      </c>
      <c r="Q14" s="13" t="str">
        <f aca="false">IF($A14="","",I14-K14-N14-O14)</f>
        <v/>
      </c>
      <c r="R14" s="2" t="str">
        <f aca="false">IF($A14="","",IF(A14&lt;Paramètres!$B$4,"terminé",IF(A14=Paramètres!$B$4,"en cours","à venir")))</f>
        <v/>
      </c>
    </row>
    <row r="15" customFormat="false" ht="15" hidden="false" customHeight="false" outlineLevel="0" collapsed="false">
      <c r="A15" s="37"/>
      <c r="B15" s="34"/>
      <c r="C15" s="42"/>
      <c r="D15" s="42"/>
      <c r="E15" s="34"/>
      <c r="F15" s="13" t="str">
        <f aca="false">IF($A15="","",MAX(0,Paramètres!$B$9+C15*(Paramètres!$B$10+Paramètres!$B$11)-D15*Paramètres!$B$14*Paramètres!$B$13))</f>
        <v/>
      </c>
      <c r="G15" s="13" t="str">
        <f aca="false">IF($A15="","",MAX(0,Paramètres!$B$15+Paramètres!$B$17*(F15-Paramètres!$B$16)))</f>
        <v/>
      </c>
      <c r="H15" s="13" t="str">
        <f aca="false">IF($A15="","",MAX(0,ROUND(F15-G15+C15*Paramètres!$B$12,2)))</f>
        <v/>
      </c>
      <c r="I15" s="13" t="str">
        <f aca="false">IF($A15="","",IF(B15="",H15,B15))</f>
        <v/>
      </c>
      <c r="J15" s="2" t="str">
        <f aca="false">IF($A15="","",IF(B15="","≈ estimé","reçu"))</f>
        <v/>
      </c>
      <c r="K15" s="13" t="str">
        <f aca="false">IF($A15="","",SUMIFS(Charges!$C$5:$C$504,Charges!$A$5:$A$504,A15))</f>
        <v/>
      </c>
      <c r="L15" s="13" t="str">
        <f aca="false">IF($A15="","",SUMIFS(Charges!$C$5:$C$504,Charges!$A$5:$A$504,A15,Charges!$E$5:$E$504,"Oui"))</f>
        <v/>
      </c>
      <c r="M15" s="13" t="str">
        <f aca="false">IF($A15="","",SUMIFS(Épargne!$C$8:$C$507,Épargne!$B$8:$B$507,A15))</f>
        <v/>
      </c>
      <c r="N15" s="13" t="str">
        <f aca="false">IF($A15="","",IF(A15&lt;Paramètres!$B$4,M15,MAX(E15,M15)))</f>
        <v/>
      </c>
      <c r="O15" s="13" t="str">
        <f aca="false">IF($A15="","",SUMIFS(Dépenses!$B$5:$B$504,Dépenses!$E$5:$E$504,A15))</f>
        <v/>
      </c>
      <c r="P15" s="13" t="str">
        <f aca="true">IF($A15="","",IF(A15&gt;Paramètres!$B$4,0,SUMIFS(Dépenses!$B$5:$B$504,Dépenses!$E$5:$E$504,A15,Dépenses!$A$5:$A$504,"&lt;="&amp;TODAY())))</f>
        <v/>
      </c>
      <c r="Q15" s="13" t="str">
        <f aca="false">IF($A15="","",I15-K15-N15-O15)</f>
        <v/>
      </c>
      <c r="R15" s="2" t="str">
        <f aca="false">IF($A15="","",IF(A15&lt;Paramètres!$B$4,"terminé",IF(A15=Paramètres!$B$4,"en cours","à venir")))</f>
        <v/>
      </c>
    </row>
    <row r="16" customFormat="false" ht="15" hidden="false" customHeight="false" outlineLevel="0" collapsed="false">
      <c r="A16" s="37"/>
      <c r="B16" s="34"/>
      <c r="C16" s="42"/>
      <c r="D16" s="42"/>
      <c r="E16" s="34"/>
      <c r="F16" s="13" t="str">
        <f aca="false">IF($A16="","",MAX(0,Paramètres!$B$9+C16*(Paramètres!$B$10+Paramètres!$B$11)-D16*Paramètres!$B$14*Paramètres!$B$13))</f>
        <v/>
      </c>
      <c r="G16" s="13" t="str">
        <f aca="false">IF($A16="","",MAX(0,Paramètres!$B$15+Paramètres!$B$17*(F16-Paramètres!$B$16)))</f>
        <v/>
      </c>
      <c r="H16" s="13" t="str">
        <f aca="false">IF($A16="","",MAX(0,ROUND(F16-G16+C16*Paramètres!$B$12,2)))</f>
        <v/>
      </c>
      <c r="I16" s="13" t="str">
        <f aca="false">IF($A16="","",IF(B16="",H16,B16))</f>
        <v/>
      </c>
      <c r="J16" s="2" t="str">
        <f aca="false">IF($A16="","",IF(B16="","≈ estimé","reçu"))</f>
        <v/>
      </c>
      <c r="K16" s="13" t="str">
        <f aca="false">IF($A16="","",SUMIFS(Charges!$C$5:$C$504,Charges!$A$5:$A$504,A16))</f>
        <v/>
      </c>
      <c r="L16" s="13" t="str">
        <f aca="false">IF($A16="","",SUMIFS(Charges!$C$5:$C$504,Charges!$A$5:$A$504,A16,Charges!$E$5:$E$504,"Oui"))</f>
        <v/>
      </c>
      <c r="M16" s="13" t="str">
        <f aca="false">IF($A16="","",SUMIFS(Épargne!$C$8:$C$507,Épargne!$B$8:$B$507,A16))</f>
        <v/>
      </c>
      <c r="N16" s="13" t="str">
        <f aca="false">IF($A16="","",IF(A16&lt;Paramètres!$B$4,M16,MAX(E16,M16)))</f>
        <v/>
      </c>
      <c r="O16" s="13" t="str">
        <f aca="false">IF($A16="","",SUMIFS(Dépenses!$B$5:$B$504,Dépenses!$E$5:$E$504,A16))</f>
        <v/>
      </c>
      <c r="P16" s="13" t="str">
        <f aca="true">IF($A16="","",IF(A16&gt;Paramètres!$B$4,0,SUMIFS(Dépenses!$B$5:$B$504,Dépenses!$E$5:$E$504,A16,Dépenses!$A$5:$A$504,"&lt;="&amp;TODAY())))</f>
        <v/>
      </c>
      <c r="Q16" s="13" t="str">
        <f aca="false">IF($A16="","",I16-K16-N16-O16)</f>
        <v/>
      </c>
      <c r="R16" s="2" t="str">
        <f aca="false">IF($A16="","",IF(A16&lt;Paramètres!$B$4,"terminé",IF(A16=Paramètres!$B$4,"en cours","à venir")))</f>
        <v/>
      </c>
    </row>
    <row r="17" customFormat="false" ht="15" hidden="false" customHeight="false" outlineLevel="0" collapsed="false">
      <c r="A17" s="37"/>
      <c r="B17" s="34"/>
      <c r="C17" s="42"/>
      <c r="D17" s="42"/>
      <c r="E17" s="34"/>
      <c r="F17" s="13" t="str">
        <f aca="false">IF($A17="","",MAX(0,Paramètres!$B$9+C17*(Paramètres!$B$10+Paramètres!$B$11)-D17*Paramètres!$B$14*Paramètres!$B$13))</f>
        <v/>
      </c>
      <c r="G17" s="13" t="str">
        <f aca="false">IF($A17="","",MAX(0,Paramètres!$B$15+Paramètres!$B$17*(F17-Paramètres!$B$16)))</f>
        <v/>
      </c>
      <c r="H17" s="13" t="str">
        <f aca="false">IF($A17="","",MAX(0,ROUND(F17-G17+C17*Paramètres!$B$12,2)))</f>
        <v/>
      </c>
      <c r="I17" s="13" t="str">
        <f aca="false">IF($A17="","",IF(B17="",H17,B17))</f>
        <v/>
      </c>
      <c r="J17" s="2" t="str">
        <f aca="false">IF($A17="","",IF(B17="","≈ estimé","reçu"))</f>
        <v/>
      </c>
      <c r="K17" s="13" t="str">
        <f aca="false">IF($A17="","",SUMIFS(Charges!$C$5:$C$504,Charges!$A$5:$A$504,A17))</f>
        <v/>
      </c>
      <c r="L17" s="13" t="str">
        <f aca="false">IF($A17="","",SUMIFS(Charges!$C$5:$C$504,Charges!$A$5:$A$504,A17,Charges!$E$5:$E$504,"Oui"))</f>
        <v/>
      </c>
      <c r="M17" s="13" t="str">
        <f aca="false">IF($A17="","",SUMIFS(Épargne!$C$8:$C$507,Épargne!$B$8:$B$507,A17))</f>
        <v/>
      </c>
      <c r="N17" s="13" t="str">
        <f aca="false">IF($A17="","",IF(A17&lt;Paramètres!$B$4,M17,MAX(E17,M17)))</f>
        <v/>
      </c>
      <c r="O17" s="13" t="str">
        <f aca="false">IF($A17="","",SUMIFS(Dépenses!$B$5:$B$504,Dépenses!$E$5:$E$504,A17))</f>
        <v/>
      </c>
      <c r="P17" s="13" t="str">
        <f aca="true">IF($A17="","",IF(A17&gt;Paramètres!$B$4,0,SUMIFS(Dépenses!$B$5:$B$504,Dépenses!$E$5:$E$504,A17,Dépenses!$A$5:$A$504,"&lt;="&amp;TODAY())))</f>
        <v/>
      </c>
      <c r="Q17" s="13" t="str">
        <f aca="false">IF($A17="","",I17-K17-N17-O17)</f>
        <v/>
      </c>
      <c r="R17" s="2" t="str">
        <f aca="false">IF($A17="","",IF(A17&lt;Paramètres!$B$4,"terminé",IF(A17=Paramètres!$B$4,"en cours","à venir")))</f>
        <v/>
      </c>
    </row>
    <row r="18" customFormat="false" ht="15" hidden="false" customHeight="false" outlineLevel="0" collapsed="false">
      <c r="A18" s="37"/>
      <c r="B18" s="34"/>
      <c r="C18" s="42"/>
      <c r="D18" s="42"/>
      <c r="E18" s="34"/>
      <c r="F18" s="13" t="str">
        <f aca="false">IF($A18="","",MAX(0,Paramètres!$B$9+C18*(Paramètres!$B$10+Paramètres!$B$11)-D18*Paramètres!$B$14*Paramètres!$B$13))</f>
        <v/>
      </c>
      <c r="G18" s="13" t="str">
        <f aca="false">IF($A18="","",MAX(0,Paramètres!$B$15+Paramètres!$B$17*(F18-Paramètres!$B$16)))</f>
        <v/>
      </c>
      <c r="H18" s="13" t="str">
        <f aca="false">IF($A18="","",MAX(0,ROUND(F18-G18+C18*Paramètres!$B$12,2)))</f>
        <v/>
      </c>
      <c r="I18" s="13" t="str">
        <f aca="false">IF($A18="","",IF(B18="",H18,B18))</f>
        <v/>
      </c>
      <c r="J18" s="2" t="str">
        <f aca="false">IF($A18="","",IF(B18="","≈ estimé","reçu"))</f>
        <v/>
      </c>
      <c r="K18" s="13" t="str">
        <f aca="false">IF($A18="","",SUMIFS(Charges!$C$5:$C$504,Charges!$A$5:$A$504,A18))</f>
        <v/>
      </c>
      <c r="L18" s="13" t="str">
        <f aca="false">IF($A18="","",SUMIFS(Charges!$C$5:$C$504,Charges!$A$5:$A$504,A18,Charges!$E$5:$E$504,"Oui"))</f>
        <v/>
      </c>
      <c r="M18" s="13" t="str">
        <f aca="false">IF($A18="","",SUMIFS(Épargne!$C$8:$C$507,Épargne!$B$8:$B$507,A18))</f>
        <v/>
      </c>
      <c r="N18" s="13" t="str">
        <f aca="false">IF($A18="","",IF(A18&lt;Paramètres!$B$4,M18,MAX(E18,M18)))</f>
        <v/>
      </c>
      <c r="O18" s="13" t="str">
        <f aca="false">IF($A18="","",SUMIFS(Dépenses!$B$5:$B$504,Dépenses!$E$5:$E$504,A18))</f>
        <v/>
      </c>
      <c r="P18" s="13" t="str">
        <f aca="true">IF($A18="","",IF(A18&gt;Paramètres!$B$4,0,SUMIFS(Dépenses!$B$5:$B$504,Dépenses!$E$5:$E$504,A18,Dépenses!$A$5:$A$504,"&lt;="&amp;TODAY())))</f>
        <v/>
      </c>
      <c r="Q18" s="13" t="str">
        <f aca="false">IF($A18="","",I18-K18-N18-O18)</f>
        <v/>
      </c>
      <c r="R18" s="2" t="str">
        <f aca="false">IF($A18="","",IF(A18&lt;Paramètres!$B$4,"terminé",IF(A18=Paramètres!$B$4,"en cours","à venir")))</f>
        <v/>
      </c>
    </row>
    <row r="19" customFormat="false" ht="15" hidden="false" customHeight="false" outlineLevel="0" collapsed="false">
      <c r="A19" s="37"/>
      <c r="B19" s="34"/>
      <c r="C19" s="42"/>
      <c r="D19" s="42"/>
      <c r="E19" s="34"/>
      <c r="F19" s="13" t="str">
        <f aca="false">IF($A19="","",MAX(0,Paramètres!$B$9+C19*(Paramètres!$B$10+Paramètres!$B$11)-D19*Paramètres!$B$14*Paramètres!$B$13))</f>
        <v/>
      </c>
      <c r="G19" s="13" t="str">
        <f aca="false">IF($A19="","",MAX(0,Paramètres!$B$15+Paramètres!$B$17*(F19-Paramètres!$B$16)))</f>
        <v/>
      </c>
      <c r="H19" s="13" t="str">
        <f aca="false">IF($A19="","",MAX(0,ROUND(F19-G19+C19*Paramètres!$B$12,2)))</f>
        <v/>
      </c>
      <c r="I19" s="13" t="str">
        <f aca="false">IF($A19="","",IF(B19="",H19,B19))</f>
        <v/>
      </c>
      <c r="J19" s="2" t="str">
        <f aca="false">IF($A19="","",IF(B19="","≈ estimé","reçu"))</f>
        <v/>
      </c>
      <c r="K19" s="13" t="str">
        <f aca="false">IF($A19="","",SUMIFS(Charges!$C$5:$C$504,Charges!$A$5:$A$504,A19))</f>
        <v/>
      </c>
      <c r="L19" s="13" t="str">
        <f aca="false">IF($A19="","",SUMIFS(Charges!$C$5:$C$504,Charges!$A$5:$A$504,A19,Charges!$E$5:$E$504,"Oui"))</f>
        <v/>
      </c>
      <c r="M19" s="13" t="str">
        <f aca="false">IF($A19="","",SUMIFS(Épargne!$C$8:$C$507,Épargne!$B$8:$B$507,A19))</f>
        <v/>
      </c>
      <c r="N19" s="13" t="str">
        <f aca="false">IF($A19="","",IF(A19&lt;Paramètres!$B$4,M19,MAX(E19,M19)))</f>
        <v/>
      </c>
      <c r="O19" s="13" t="str">
        <f aca="false">IF($A19="","",SUMIFS(Dépenses!$B$5:$B$504,Dépenses!$E$5:$E$504,A19))</f>
        <v/>
      </c>
      <c r="P19" s="13" t="str">
        <f aca="true">IF($A19="","",IF(A19&gt;Paramètres!$B$4,0,SUMIFS(Dépenses!$B$5:$B$504,Dépenses!$E$5:$E$504,A19,Dépenses!$A$5:$A$504,"&lt;="&amp;TODAY())))</f>
        <v/>
      </c>
      <c r="Q19" s="13" t="str">
        <f aca="false">IF($A19="","",I19-K19-N19-O19)</f>
        <v/>
      </c>
      <c r="R19" s="2" t="str">
        <f aca="false">IF($A19="","",IF(A19&lt;Paramètres!$B$4,"terminé",IF(A19=Paramètres!$B$4,"en cours","à venir")))</f>
        <v/>
      </c>
    </row>
    <row r="20" customFormat="false" ht="15" hidden="false" customHeight="false" outlineLevel="0" collapsed="false">
      <c r="A20" s="37"/>
      <c r="B20" s="34"/>
      <c r="C20" s="42"/>
      <c r="D20" s="42"/>
      <c r="E20" s="34"/>
      <c r="F20" s="13" t="str">
        <f aca="false">IF($A20="","",MAX(0,Paramètres!$B$9+C20*(Paramètres!$B$10+Paramètres!$B$11)-D20*Paramètres!$B$14*Paramètres!$B$13))</f>
        <v/>
      </c>
      <c r="G20" s="13" t="str">
        <f aca="false">IF($A20="","",MAX(0,Paramètres!$B$15+Paramètres!$B$17*(F20-Paramètres!$B$16)))</f>
        <v/>
      </c>
      <c r="H20" s="13" t="str">
        <f aca="false">IF($A20="","",MAX(0,ROUND(F20-G20+C20*Paramètres!$B$12,2)))</f>
        <v/>
      </c>
      <c r="I20" s="13" t="str">
        <f aca="false">IF($A20="","",IF(B20="",H20,B20))</f>
        <v/>
      </c>
      <c r="J20" s="2" t="str">
        <f aca="false">IF($A20="","",IF(B20="","≈ estimé","reçu"))</f>
        <v/>
      </c>
      <c r="K20" s="13" t="str">
        <f aca="false">IF($A20="","",SUMIFS(Charges!$C$5:$C$504,Charges!$A$5:$A$504,A20))</f>
        <v/>
      </c>
      <c r="L20" s="13" t="str">
        <f aca="false">IF($A20="","",SUMIFS(Charges!$C$5:$C$504,Charges!$A$5:$A$504,A20,Charges!$E$5:$E$504,"Oui"))</f>
        <v/>
      </c>
      <c r="M20" s="13" t="str">
        <f aca="false">IF($A20="","",SUMIFS(Épargne!$C$8:$C$507,Épargne!$B$8:$B$507,A20))</f>
        <v/>
      </c>
      <c r="N20" s="13" t="str">
        <f aca="false">IF($A20="","",IF(A20&lt;Paramètres!$B$4,M20,MAX(E20,M20)))</f>
        <v/>
      </c>
      <c r="O20" s="13" t="str">
        <f aca="false">IF($A20="","",SUMIFS(Dépenses!$B$5:$B$504,Dépenses!$E$5:$E$504,A20))</f>
        <v/>
      </c>
      <c r="P20" s="13" t="str">
        <f aca="true">IF($A20="","",IF(A20&gt;Paramètres!$B$4,0,SUMIFS(Dépenses!$B$5:$B$504,Dépenses!$E$5:$E$504,A20,Dépenses!$A$5:$A$504,"&lt;="&amp;TODAY())))</f>
        <v/>
      </c>
      <c r="Q20" s="13" t="str">
        <f aca="false">IF($A20="","",I20-K20-N20-O20)</f>
        <v/>
      </c>
      <c r="R20" s="2" t="str">
        <f aca="false">IF($A20="","",IF(A20&lt;Paramètres!$B$4,"terminé",IF(A20=Paramètres!$B$4,"en cours","à venir")))</f>
        <v/>
      </c>
    </row>
    <row r="21" customFormat="false" ht="15" hidden="false" customHeight="false" outlineLevel="0" collapsed="false">
      <c r="A21" s="37"/>
      <c r="B21" s="34"/>
      <c r="C21" s="42"/>
      <c r="D21" s="42"/>
      <c r="E21" s="34"/>
      <c r="F21" s="13" t="str">
        <f aca="false">IF($A21="","",MAX(0,Paramètres!$B$9+C21*(Paramètres!$B$10+Paramètres!$B$11)-D21*Paramètres!$B$14*Paramètres!$B$13))</f>
        <v/>
      </c>
      <c r="G21" s="13" t="str">
        <f aca="false">IF($A21="","",MAX(0,Paramètres!$B$15+Paramètres!$B$17*(F21-Paramètres!$B$16)))</f>
        <v/>
      </c>
      <c r="H21" s="13" t="str">
        <f aca="false">IF($A21="","",MAX(0,ROUND(F21-G21+C21*Paramètres!$B$12,2)))</f>
        <v/>
      </c>
      <c r="I21" s="13" t="str">
        <f aca="false">IF($A21="","",IF(B21="",H21,B21))</f>
        <v/>
      </c>
      <c r="J21" s="2" t="str">
        <f aca="false">IF($A21="","",IF(B21="","≈ estimé","reçu"))</f>
        <v/>
      </c>
      <c r="K21" s="13" t="str">
        <f aca="false">IF($A21="","",SUMIFS(Charges!$C$5:$C$504,Charges!$A$5:$A$504,A21))</f>
        <v/>
      </c>
      <c r="L21" s="13" t="str">
        <f aca="false">IF($A21="","",SUMIFS(Charges!$C$5:$C$504,Charges!$A$5:$A$504,A21,Charges!$E$5:$E$504,"Oui"))</f>
        <v/>
      </c>
      <c r="M21" s="13" t="str">
        <f aca="false">IF($A21="","",SUMIFS(Épargne!$C$8:$C$507,Épargne!$B$8:$B$507,A21))</f>
        <v/>
      </c>
      <c r="N21" s="13" t="str">
        <f aca="false">IF($A21="","",IF(A21&lt;Paramètres!$B$4,M21,MAX(E21,M21)))</f>
        <v/>
      </c>
      <c r="O21" s="13" t="str">
        <f aca="false">IF($A21="","",SUMIFS(Dépenses!$B$5:$B$504,Dépenses!$E$5:$E$504,A21))</f>
        <v/>
      </c>
      <c r="P21" s="13" t="str">
        <f aca="true">IF($A21="","",IF(A21&gt;Paramètres!$B$4,0,SUMIFS(Dépenses!$B$5:$B$504,Dépenses!$E$5:$E$504,A21,Dépenses!$A$5:$A$504,"&lt;="&amp;TODAY())))</f>
        <v/>
      </c>
      <c r="Q21" s="13" t="str">
        <f aca="false">IF($A21="","",I21-K21-N21-O21)</f>
        <v/>
      </c>
      <c r="R21" s="2" t="str">
        <f aca="false">IF($A21="","",IF(A21&lt;Paramètres!$B$4,"terminé",IF(A21=Paramètres!$B$4,"en cours","à venir")))</f>
        <v/>
      </c>
    </row>
    <row r="22" customFormat="false" ht="15" hidden="false" customHeight="false" outlineLevel="0" collapsed="false">
      <c r="A22" s="37"/>
      <c r="B22" s="34"/>
      <c r="C22" s="42"/>
      <c r="D22" s="42"/>
      <c r="E22" s="34"/>
      <c r="F22" s="13" t="str">
        <f aca="false">IF($A22="","",MAX(0,Paramètres!$B$9+C22*(Paramètres!$B$10+Paramètres!$B$11)-D22*Paramètres!$B$14*Paramètres!$B$13))</f>
        <v/>
      </c>
      <c r="G22" s="13" t="str">
        <f aca="false">IF($A22="","",MAX(0,Paramètres!$B$15+Paramètres!$B$17*(F22-Paramètres!$B$16)))</f>
        <v/>
      </c>
      <c r="H22" s="13" t="str">
        <f aca="false">IF($A22="","",MAX(0,ROUND(F22-G22+C22*Paramètres!$B$12,2)))</f>
        <v/>
      </c>
      <c r="I22" s="13" t="str">
        <f aca="false">IF($A22="","",IF(B22="",H22,B22))</f>
        <v/>
      </c>
      <c r="J22" s="2" t="str">
        <f aca="false">IF($A22="","",IF(B22="","≈ estimé","reçu"))</f>
        <v/>
      </c>
      <c r="K22" s="13" t="str">
        <f aca="false">IF($A22="","",SUMIFS(Charges!$C$5:$C$504,Charges!$A$5:$A$504,A22))</f>
        <v/>
      </c>
      <c r="L22" s="13" t="str">
        <f aca="false">IF($A22="","",SUMIFS(Charges!$C$5:$C$504,Charges!$A$5:$A$504,A22,Charges!$E$5:$E$504,"Oui"))</f>
        <v/>
      </c>
      <c r="M22" s="13" t="str">
        <f aca="false">IF($A22="","",SUMIFS(Épargne!$C$8:$C$507,Épargne!$B$8:$B$507,A22))</f>
        <v/>
      </c>
      <c r="N22" s="13" t="str">
        <f aca="false">IF($A22="","",IF(A22&lt;Paramètres!$B$4,M22,MAX(E22,M22)))</f>
        <v/>
      </c>
      <c r="O22" s="13" t="str">
        <f aca="false">IF($A22="","",SUMIFS(Dépenses!$B$5:$B$504,Dépenses!$E$5:$E$504,A22))</f>
        <v/>
      </c>
      <c r="P22" s="13" t="str">
        <f aca="true">IF($A22="","",IF(A22&gt;Paramètres!$B$4,0,SUMIFS(Dépenses!$B$5:$B$504,Dépenses!$E$5:$E$504,A22,Dépenses!$A$5:$A$504,"&lt;="&amp;TODAY())))</f>
        <v/>
      </c>
      <c r="Q22" s="13" t="str">
        <f aca="false">IF($A22="","",I22-K22-N22-O22)</f>
        <v/>
      </c>
      <c r="R22" s="2" t="str">
        <f aca="false">IF($A22="","",IF(A22&lt;Paramètres!$B$4,"terminé",IF(A22=Paramètres!$B$4,"en cours","à venir")))</f>
        <v/>
      </c>
    </row>
    <row r="23" customFormat="false" ht="15" hidden="false" customHeight="false" outlineLevel="0" collapsed="false">
      <c r="A23" s="37"/>
      <c r="B23" s="34"/>
      <c r="C23" s="42"/>
      <c r="D23" s="42"/>
      <c r="E23" s="34"/>
      <c r="F23" s="13" t="str">
        <f aca="false">IF($A23="","",MAX(0,Paramètres!$B$9+C23*(Paramètres!$B$10+Paramètres!$B$11)-D23*Paramètres!$B$14*Paramètres!$B$13))</f>
        <v/>
      </c>
      <c r="G23" s="13" t="str">
        <f aca="false">IF($A23="","",MAX(0,Paramètres!$B$15+Paramètres!$B$17*(F23-Paramètres!$B$16)))</f>
        <v/>
      </c>
      <c r="H23" s="13" t="str">
        <f aca="false">IF($A23="","",MAX(0,ROUND(F23-G23+C23*Paramètres!$B$12,2)))</f>
        <v/>
      </c>
      <c r="I23" s="13" t="str">
        <f aca="false">IF($A23="","",IF(B23="",H23,B23))</f>
        <v/>
      </c>
      <c r="J23" s="2" t="str">
        <f aca="false">IF($A23="","",IF(B23="","≈ estimé","reçu"))</f>
        <v/>
      </c>
      <c r="K23" s="13" t="str">
        <f aca="false">IF($A23="","",SUMIFS(Charges!$C$5:$C$504,Charges!$A$5:$A$504,A23))</f>
        <v/>
      </c>
      <c r="L23" s="13" t="str">
        <f aca="false">IF($A23="","",SUMIFS(Charges!$C$5:$C$504,Charges!$A$5:$A$504,A23,Charges!$E$5:$E$504,"Oui"))</f>
        <v/>
      </c>
      <c r="M23" s="13" t="str">
        <f aca="false">IF($A23="","",SUMIFS(Épargne!$C$8:$C$507,Épargne!$B$8:$B$507,A23))</f>
        <v/>
      </c>
      <c r="N23" s="13" t="str">
        <f aca="false">IF($A23="","",IF(A23&lt;Paramètres!$B$4,M23,MAX(E23,M23)))</f>
        <v/>
      </c>
      <c r="O23" s="13" t="str">
        <f aca="false">IF($A23="","",SUMIFS(Dépenses!$B$5:$B$504,Dépenses!$E$5:$E$504,A23))</f>
        <v/>
      </c>
      <c r="P23" s="13" t="str">
        <f aca="true">IF($A23="","",IF(A23&gt;Paramètres!$B$4,0,SUMIFS(Dépenses!$B$5:$B$504,Dépenses!$E$5:$E$504,A23,Dépenses!$A$5:$A$504,"&lt;="&amp;TODAY())))</f>
        <v/>
      </c>
      <c r="Q23" s="13" t="str">
        <f aca="false">IF($A23="","",I23-K23-N23-O23)</f>
        <v/>
      </c>
      <c r="R23" s="2" t="str">
        <f aca="false">IF($A23="","",IF(A23&lt;Paramètres!$B$4,"terminé",IF(A23=Paramètres!$B$4,"en cours","à venir")))</f>
        <v/>
      </c>
    </row>
    <row r="24" customFormat="false" ht="15" hidden="false" customHeight="false" outlineLevel="0" collapsed="false">
      <c r="A24" s="37"/>
      <c r="B24" s="34"/>
      <c r="C24" s="42"/>
      <c r="D24" s="42"/>
      <c r="E24" s="34"/>
      <c r="F24" s="13" t="str">
        <f aca="false">IF($A24="","",MAX(0,Paramètres!$B$9+C24*(Paramètres!$B$10+Paramètres!$B$11)-D24*Paramètres!$B$14*Paramètres!$B$13))</f>
        <v/>
      </c>
      <c r="G24" s="13" t="str">
        <f aca="false">IF($A24="","",MAX(0,Paramètres!$B$15+Paramètres!$B$17*(F24-Paramètres!$B$16)))</f>
        <v/>
      </c>
      <c r="H24" s="13" t="str">
        <f aca="false">IF($A24="","",MAX(0,ROUND(F24-G24+C24*Paramètres!$B$12,2)))</f>
        <v/>
      </c>
      <c r="I24" s="13" t="str">
        <f aca="false">IF($A24="","",IF(B24="",H24,B24))</f>
        <v/>
      </c>
      <c r="J24" s="2" t="str">
        <f aca="false">IF($A24="","",IF(B24="","≈ estimé","reçu"))</f>
        <v/>
      </c>
      <c r="K24" s="13" t="str">
        <f aca="false">IF($A24="","",SUMIFS(Charges!$C$5:$C$504,Charges!$A$5:$A$504,A24))</f>
        <v/>
      </c>
      <c r="L24" s="13" t="str">
        <f aca="false">IF($A24="","",SUMIFS(Charges!$C$5:$C$504,Charges!$A$5:$A$504,A24,Charges!$E$5:$E$504,"Oui"))</f>
        <v/>
      </c>
      <c r="M24" s="13" t="str">
        <f aca="false">IF($A24="","",SUMIFS(Épargne!$C$8:$C$507,Épargne!$B$8:$B$507,A24))</f>
        <v/>
      </c>
      <c r="N24" s="13" t="str">
        <f aca="false">IF($A24="","",IF(A24&lt;Paramètres!$B$4,M24,MAX(E24,M24)))</f>
        <v/>
      </c>
      <c r="O24" s="13" t="str">
        <f aca="false">IF($A24="","",SUMIFS(Dépenses!$B$5:$B$504,Dépenses!$E$5:$E$504,A24))</f>
        <v/>
      </c>
      <c r="P24" s="13" t="str">
        <f aca="true">IF($A24="","",IF(A24&gt;Paramètres!$B$4,0,SUMIFS(Dépenses!$B$5:$B$504,Dépenses!$E$5:$E$504,A24,Dépenses!$A$5:$A$504,"&lt;="&amp;TODAY())))</f>
        <v/>
      </c>
      <c r="Q24" s="13" t="str">
        <f aca="false">IF($A24="","",I24-K24-N24-O24)</f>
        <v/>
      </c>
      <c r="R24" s="2" t="str">
        <f aca="false">IF($A24="","",IF(A24&lt;Paramètres!$B$4,"terminé",IF(A24=Paramètres!$B$4,"en cours","à venir")))</f>
        <v/>
      </c>
    </row>
    <row r="25" customFormat="false" ht="15" hidden="false" customHeight="false" outlineLevel="0" collapsed="false">
      <c r="A25" s="37"/>
      <c r="B25" s="34"/>
      <c r="C25" s="42"/>
      <c r="D25" s="42"/>
      <c r="E25" s="34"/>
      <c r="F25" s="13" t="str">
        <f aca="false">IF($A25="","",MAX(0,Paramètres!$B$9+C25*(Paramètres!$B$10+Paramètres!$B$11)-D25*Paramètres!$B$14*Paramètres!$B$13))</f>
        <v/>
      </c>
      <c r="G25" s="13" t="str">
        <f aca="false">IF($A25="","",MAX(0,Paramètres!$B$15+Paramètres!$B$17*(F25-Paramètres!$B$16)))</f>
        <v/>
      </c>
      <c r="H25" s="13" t="str">
        <f aca="false">IF($A25="","",MAX(0,ROUND(F25-G25+C25*Paramètres!$B$12,2)))</f>
        <v/>
      </c>
      <c r="I25" s="13" t="str">
        <f aca="false">IF($A25="","",IF(B25="",H25,B25))</f>
        <v/>
      </c>
      <c r="J25" s="2" t="str">
        <f aca="false">IF($A25="","",IF(B25="","≈ estimé","reçu"))</f>
        <v/>
      </c>
      <c r="K25" s="13" t="str">
        <f aca="false">IF($A25="","",SUMIFS(Charges!$C$5:$C$504,Charges!$A$5:$A$504,A25))</f>
        <v/>
      </c>
      <c r="L25" s="13" t="str">
        <f aca="false">IF($A25="","",SUMIFS(Charges!$C$5:$C$504,Charges!$A$5:$A$504,A25,Charges!$E$5:$E$504,"Oui"))</f>
        <v/>
      </c>
      <c r="M25" s="13" t="str">
        <f aca="false">IF($A25="","",SUMIFS(Épargne!$C$8:$C$507,Épargne!$B$8:$B$507,A25))</f>
        <v/>
      </c>
      <c r="N25" s="13" t="str">
        <f aca="false">IF($A25="","",IF(A25&lt;Paramètres!$B$4,M25,MAX(E25,M25)))</f>
        <v/>
      </c>
      <c r="O25" s="13" t="str">
        <f aca="false">IF($A25="","",SUMIFS(Dépenses!$B$5:$B$504,Dépenses!$E$5:$E$504,A25))</f>
        <v/>
      </c>
      <c r="P25" s="13" t="str">
        <f aca="true">IF($A25="","",IF(A25&gt;Paramètres!$B$4,0,SUMIFS(Dépenses!$B$5:$B$504,Dépenses!$E$5:$E$504,A25,Dépenses!$A$5:$A$504,"&lt;="&amp;TODAY())))</f>
        <v/>
      </c>
      <c r="Q25" s="13" t="str">
        <f aca="false">IF($A25="","",I25-K25-N25-O25)</f>
        <v/>
      </c>
      <c r="R25" s="2" t="str">
        <f aca="false">IF($A25="","",IF(A25&lt;Paramètres!$B$4,"terminé",IF(A25=Paramètres!$B$4,"en cours","à venir")))</f>
        <v/>
      </c>
    </row>
    <row r="26" customFormat="false" ht="15" hidden="false" customHeight="false" outlineLevel="0" collapsed="false">
      <c r="A26" s="37"/>
      <c r="B26" s="34"/>
      <c r="C26" s="42"/>
      <c r="D26" s="42"/>
      <c r="E26" s="34"/>
      <c r="F26" s="13" t="str">
        <f aca="false">IF($A26="","",MAX(0,Paramètres!$B$9+C26*(Paramètres!$B$10+Paramètres!$B$11)-D26*Paramètres!$B$14*Paramètres!$B$13))</f>
        <v/>
      </c>
      <c r="G26" s="13" t="str">
        <f aca="false">IF($A26="","",MAX(0,Paramètres!$B$15+Paramètres!$B$17*(F26-Paramètres!$B$16)))</f>
        <v/>
      </c>
      <c r="H26" s="13" t="str">
        <f aca="false">IF($A26="","",MAX(0,ROUND(F26-G26+C26*Paramètres!$B$12,2)))</f>
        <v/>
      </c>
      <c r="I26" s="13" t="str">
        <f aca="false">IF($A26="","",IF(B26="",H26,B26))</f>
        <v/>
      </c>
      <c r="J26" s="2" t="str">
        <f aca="false">IF($A26="","",IF(B26="","≈ estimé","reçu"))</f>
        <v/>
      </c>
      <c r="K26" s="13" t="str">
        <f aca="false">IF($A26="","",SUMIFS(Charges!$C$5:$C$504,Charges!$A$5:$A$504,A26))</f>
        <v/>
      </c>
      <c r="L26" s="13" t="str">
        <f aca="false">IF($A26="","",SUMIFS(Charges!$C$5:$C$504,Charges!$A$5:$A$504,A26,Charges!$E$5:$E$504,"Oui"))</f>
        <v/>
      </c>
      <c r="M26" s="13" t="str">
        <f aca="false">IF($A26="","",SUMIFS(Épargne!$C$8:$C$507,Épargne!$B$8:$B$507,A26))</f>
        <v/>
      </c>
      <c r="N26" s="13" t="str">
        <f aca="false">IF($A26="","",IF(A26&lt;Paramètres!$B$4,M26,MAX(E26,M26)))</f>
        <v/>
      </c>
      <c r="O26" s="13" t="str">
        <f aca="false">IF($A26="","",SUMIFS(Dépenses!$B$5:$B$504,Dépenses!$E$5:$E$504,A26))</f>
        <v/>
      </c>
      <c r="P26" s="13" t="str">
        <f aca="true">IF($A26="","",IF(A26&gt;Paramètres!$B$4,0,SUMIFS(Dépenses!$B$5:$B$504,Dépenses!$E$5:$E$504,A26,Dépenses!$A$5:$A$504,"&lt;="&amp;TODAY())))</f>
        <v/>
      </c>
      <c r="Q26" s="13" t="str">
        <f aca="false">IF($A26="","",I26-K26-N26-O26)</f>
        <v/>
      </c>
      <c r="R26" s="2" t="str">
        <f aca="false">IF($A26="","",IF(A26&lt;Paramètres!$B$4,"terminé",IF(A26=Paramètres!$B$4,"en cours","à venir")))</f>
        <v/>
      </c>
    </row>
    <row r="27" customFormat="false" ht="15" hidden="false" customHeight="false" outlineLevel="0" collapsed="false">
      <c r="A27" s="37"/>
      <c r="B27" s="34"/>
      <c r="C27" s="42"/>
      <c r="D27" s="42"/>
      <c r="E27" s="34"/>
      <c r="F27" s="13" t="str">
        <f aca="false">IF($A27="","",MAX(0,Paramètres!$B$9+C27*(Paramètres!$B$10+Paramètres!$B$11)-D27*Paramètres!$B$14*Paramètres!$B$13))</f>
        <v/>
      </c>
      <c r="G27" s="13" t="str">
        <f aca="false">IF($A27="","",MAX(0,Paramètres!$B$15+Paramètres!$B$17*(F27-Paramètres!$B$16)))</f>
        <v/>
      </c>
      <c r="H27" s="13" t="str">
        <f aca="false">IF($A27="","",MAX(0,ROUND(F27-G27+C27*Paramètres!$B$12,2)))</f>
        <v/>
      </c>
      <c r="I27" s="13" t="str">
        <f aca="false">IF($A27="","",IF(B27="",H27,B27))</f>
        <v/>
      </c>
      <c r="J27" s="2" t="str">
        <f aca="false">IF($A27="","",IF(B27="","≈ estimé","reçu"))</f>
        <v/>
      </c>
      <c r="K27" s="13" t="str">
        <f aca="false">IF($A27="","",SUMIFS(Charges!$C$5:$C$504,Charges!$A$5:$A$504,A27))</f>
        <v/>
      </c>
      <c r="L27" s="13" t="str">
        <f aca="false">IF($A27="","",SUMIFS(Charges!$C$5:$C$504,Charges!$A$5:$A$504,A27,Charges!$E$5:$E$504,"Oui"))</f>
        <v/>
      </c>
      <c r="M27" s="13" t="str">
        <f aca="false">IF($A27="","",SUMIFS(Épargne!$C$8:$C$507,Épargne!$B$8:$B$507,A27))</f>
        <v/>
      </c>
      <c r="N27" s="13" t="str">
        <f aca="false">IF($A27="","",IF(A27&lt;Paramètres!$B$4,M27,MAX(E27,M27)))</f>
        <v/>
      </c>
      <c r="O27" s="13" t="str">
        <f aca="false">IF($A27="","",SUMIFS(Dépenses!$B$5:$B$504,Dépenses!$E$5:$E$504,A27))</f>
        <v/>
      </c>
      <c r="P27" s="13" t="str">
        <f aca="true">IF($A27="","",IF(A27&gt;Paramètres!$B$4,0,SUMIFS(Dépenses!$B$5:$B$504,Dépenses!$E$5:$E$504,A27,Dépenses!$A$5:$A$504,"&lt;="&amp;TODAY())))</f>
        <v/>
      </c>
      <c r="Q27" s="13" t="str">
        <f aca="false">IF($A27="","",I27-K27-N27-O27)</f>
        <v/>
      </c>
      <c r="R27" s="2" t="str">
        <f aca="false">IF($A27="","",IF(A27&lt;Paramètres!$B$4,"terminé",IF(A27=Paramètres!$B$4,"en cours","à venir")))</f>
        <v/>
      </c>
    </row>
    <row r="28" customFormat="false" ht="15" hidden="false" customHeight="false" outlineLevel="0" collapsed="false">
      <c r="A28" s="37"/>
      <c r="B28" s="34"/>
      <c r="C28" s="42"/>
      <c r="D28" s="42"/>
      <c r="E28" s="34"/>
      <c r="F28" s="13" t="str">
        <f aca="false">IF($A28="","",MAX(0,Paramètres!$B$9+C28*(Paramètres!$B$10+Paramètres!$B$11)-D28*Paramètres!$B$14*Paramètres!$B$13))</f>
        <v/>
      </c>
      <c r="G28" s="13" t="str">
        <f aca="false">IF($A28="","",MAX(0,Paramètres!$B$15+Paramètres!$B$17*(F28-Paramètres!$B$16)))</f>
        <v/>
      </c>
      <c r="H28" s="13" t="str">
        <f aca="false">IF($A28="","",MAX(0,ROUND(F28-G28+C28*Paramètres!$B$12,2)))</f>
        <v/>
      </c>
      <c r="I28" s="13" t="str">
        <f aca="false">IF($A28="","",IF(B28="",H28,B28))</f>
        <v/>
      </c>
      <c r="J28" s="2" t="str">
        <f aca="false">IF($A28="","",IF(B28="","≈ estimé","reçu"))</f>
        <v/>
      </c>
      <c r="K28" s="13" t="str">
        <f aca="false">IF($A28="","",SUMIFS(Charges!$C$5:$C$504,Charges!$A$5:$A$504,A28))</f>
        <v/>
      </c>
      <c r="L28" s="13" t="str">
        <f aca="false">IF($A28="","",SUMIFS(Charges!$C$5:$C$504,Charges!$A$5:$A$504,A28,Charges!$E$5:$E$504,"Oui"))</f>
        <v/>
      </c>
      <c r="M28" s="13" t="str">
        <f aca="false">IF($A28="","",SUMIFS(Épargne!$C$8:$C$507,Épargne!$B$8:$B$507,A28))</f>
        <v/>
      </c>
      <c r="N28" s="13" t="str">
        <f aca="false">IF($A28="","",IF(A28&lt;Paramètres!$B$4,M28,MAX(E28,M28)))</f>
        <v/>
      </c>
      <c r="O28" s="13" t="str">
        <f aca="false">IF($A28="","",SUMIFS(Dépenses!$B$5:$B$504,Dépenses!$E$5:$E$504,A28))</f>
        <v/>
      </c>
      <c r="P28" s="13" t="str">
        <f aca="true">IF($A28="","",IF(A28&gt;Paramètres!$B$4,0,SUMIFS(Dépenses!$B$5:$B$504,Dépenses!$E$5:$E$504,A28,Dépenses!$A$5:$A$504,"&lt;="&amp;TODAY())))</f>
        <v/>
      </c>
      <c r="Q28" s="13" t="str">
        <f aca="false">IF($A28="","",I28-K28-N28-O28)</f>
        <v/>
      </c>
      <c r="R28" s="2" t="str">
        <f aca="false">IF($A28="","",IF(A28&lt;Paramètres!$B$4,"terminé",IF(A28=Paramètres!$B$4,"en cours","à venir")))</f>
        <v/>
      </c>
    </row>
    <row r="29" customFormat="false" ht="15" hidden="false" customHeight="false" outlineLevel="0" collapsed="false">
      <c r="A29" s="37"/>
      <c r="B29" s="34"/>
      <c r="C29" s="42"/>
      <c r="D29" s="42"/>
      <c r="E29" s="34"/>
      <c r="F29" s="13" t="str">
        <f aca="false">IF($A29="","",MAX(0,Paramètres!$B$9+C29*(Paramètres!$B$10+Paramètres!$B$11)-D29*Paramètres!$B$14*Paramètres!$B$13))</f>
        <v/>
      </c>
      <c r="G29" s="13" t="str">
        <f aca="false">IF($A29="","",MAX(0,Paramètres!$B$15+Paramètres!$B$17*(F29-Paramètres!$B$16)))</f>
        <v/>
      </c>
      <c r="H29" s="13" t="str">
        <f aca="false">IF($A29="","",MAX(0,ROUND(F29-G29+C29*Paramètres!$B$12,2)))</f>
        <v/>
      </c>
      <c r="I29" s="13" t="str">
        <f aca="false">IF($A29="","",IF(B29="",H29,B29))</f>
        <v/>
      </c>
      <c r="J29" s="2" t="str">
        <f aca="false">IF($A29="","",IF(B29="","≈ estimé","reçu"))</f>
        <v/>
      </c>
      <c r="K29" s="13" t="str">
        <f aca="false">IF($A29="","",SUMIFS(Charges!$C$5:$C$504,Charges!$A$5:$A$504,A29))</f>
        <v/>
      </c>
      <c r="L29" s="13" t="str">
        <f aca="false">IF($A29="","",SUMIFS(Charges!$C$5:$C$504,Charges!$A$5:$A$504,A29,Charges!$E$5:$E$504,"Oui"))</f>
        <v/>
      </c>
      <c r="M29" s="13" t="str">
        <f aca="false">IF($A29="","",SUMIFS(Épargne!$C$8:$C$507,Épargne!$B$8:$B$507,A29))</f>
        <v/>
      </c>
      <c r="N29" s="13" t="str">
        <f aca="false">IF($A29="","",IF(A29&lt;Paramètres!$B$4,M29,MAX(E29,M29)))</f>
        <v/>
      </c>
      <c r="O29" s="13" t="str">
        <f aca="false">IF($A29="","",SUMIFS(Dépenses!$B$5:$B$504,Dépenses!$E$5:$E$504,A29))</f>
        <v/>
      </c>
      <c r="P29" s="13" t="str">
        <f aca="true">IF($A29="","",IF(A29&gt;Paramètres!$B$4,0,SUMIFS(Dépenses!$B$5:$B$504,Dépenses!$E$5:$E$504,A29,Dépenses!$A$5:$A$504,"&lt;="&amp;TODAY())))</f>
        <v/>
      </c>
      <c r="Q29" s="13" t="str">
        <f aca="false">IF($A29="","",I29-K29-N29-O29)</f>
        <v/>
      </c>
      <c r="R29" s="2" t="str">
        <f aca="false">IF($A29="","",IF(A29&lt;Paramètres!$B$4,"terminé",IF(A29=Paramètres!$B$4,"en cours","à venir")))</f>
        <v/>
      </c>
    </row>
    <row r="30" customFormat="false" ht="15" hidden="false" customHeight="false" outlineLevel="0" collapsed="false">
      <c r="A30" s="37"/>
      <c r="B30" s="34"/>
      <c r="C30" s="42"/>
      <c r="D30" s="42"/>
      <c r="E30" s="34"/>
      <c r="F30" s="13" t="str">
        <f aca="false">IF($A30="","",MAX(0,Paramètres!$B$9+C30*(Paramètres!$B$10+Paramètres!$B$11)-D30*Paramètres!$B$14*Paramètres!$B$13))</f>
        <v/>
      </c>
      <c r="G30" s="13" t="str">
        <f aca="false">IF($A30="","",MAX(0,Paramètres!$B$15+Paramètres!$B$17*(F30-Paramètres!$B$16)))</f>
        <v/>
      </c>
      <c r="H30" s="13" t="str">
        <f aca="false">IF($A30="","",MAX(0,ROUND(F30-G30+C30*Paramètres!$B$12,2)))</f>
        <v/>
      </c>
      <c r="I30" s="13" t="str">
        <f aca="false">IF($A30="","",IF(B30="",H30,B30))</f>
        <v/>
      </c>
      <c r="J30" s="2" t="str">
        <f aca="false">IF($A30="","",IF(B30="","≈ estimé","reçu"))</f>
        <v/>
      </c>
      <c r="K30" s="13" t="str">
        <f aca="false">IF($A30="","",SUMIFS(Charges!$C$5:$C$504,Charges!$A$5:$A$504,A30))</f>
        <v/>
      </c>
      <c r="L30" s="13" t="str">
        <f aca="false">IF($A30="","",SUMIFS(Charges!$C$5:$C$504,Charges!$A$5:$A$504,A30,Charges!$E$5:$E$504,"Oui"))</f>
        <v/>
      </c>
      <c r="M30" s="13" t="str">
        <f aca="false">IF($A30="","",SUMIFS(Épargne!$C$8:$C$507,Épargne!$B$8:$B$507,A30))</f>
        <v/>
      </c>
      <c r="N30" s="13" t="str">
        <f aca="false">IF($A30="","",IF(A30&lt;Paramètres!$B$4,M30,MAX(E30,M30)))</f>
        <v/>
      </c>
      <c r="O30" s="13" t="str">
        <f aca="false">IF($A30="","",SUMIFS(Dépenses!$B$5:$B$504,Dépenses!$E$5:$E$504,A30))</f>
        <v/>
      </c>
      <c r="P30" s="13" t="str">
        <f aca="true">IF($A30="","",IF(A30&gt;Paramètres!$B$4,0,SUMIFS(Dépenses!$B$5:$B$504,Dépenses!$E$5:$E$504,A30,Dépenses!$A$5:$A$504,"&lt;="&amp;TODAY())))</f>
        <v/>
      </c>
      <c r="Q30" s="13" t="str">
        <f aca="false">IF($A30="","",I30-K30-N30-O30)</f>
        <v/>
      </c>
      <c r="R30" s="2" t="str">
        <f aca="false">IF($A30="","",IF(A30&lt;Paramètres!$B$4,"terminé",IF(A30=Paramètres!$B$4,"en cours","à venir")))</f>
        <v/>
      </c>
    </row>
    <row r="31" customFormat="false" ht="15" hidden="false" customHeight="false" outlineLevel="0" collapsed="false">
      <c r="A31" s="37"/>
      <c r="B31" s="34"/>
      <c r="C31" s="42"/>
      <c r="D31" s="42"/>
      <c r="E31" s="34"/>
      <c r="F31" s="13" t="str">
        <f aca="false">IF($A31="","",MAX(0,Paramètres!$B$9+C31*(Paramètres!$B$10+Paramètres!$B$11)-D31*Paramètres!$B$14*Paramètres!$B$13))</f>
        <v/>
      </c>
      <c r="G31" s="13" t="str">
        <f aca="false">IF($A31="","",MAX(0,Paramètres!$B$15+Paramètres!$B$17*(F31-Paramètres!$B$16)))</f>
        <v/>
      </c>
      <c r="H31" s="13" t="str">
        <f aca="false">IF($A31="","",MAX(0,ROUND(F31-G31+C31*Paramètres!$B$12,2)))</f>
        <v/>
      </c>
      <c r="I31" s="13" t="str">
        <f aca="false">IF($A31="","",IF(B31="",H31,B31))</f>
        <v/>
      </c>
      <c r="J31" s="2" t="str">
        <f aca="false">IF($A31="","",IF(B31="","≈ estimé","reçu"))</f>
        <v/>
      </c>
      <c r="K31" s="13" t="str">
        <f aca="false">IF($A31="","",SUMIFS(Charges!$C$5:$C$504,Charges!$A$5:$A$504,A31))</f>
        <v/>
      </c>
      <c r="L31" s="13" t="str">
        <f aca="false">IF($A31="","",SUMIFS(Charges!$C$5:$C$504,Charges!$A$5:$A$504,A31,Charges!$E$5:$E$504,"Oui"))</f>
        <v/>
      </c>
      <c r="M31" s="13" t="str">
        <f aca="false">IF($A31="","",SUMIFS(Épargne!$C$8:$C$507,Épargne!$B$8:$B$507,A31))</f>
        <v/>
      </c>
      <c r="N31" s="13" t="str">
        <f aca="false">IF($A31="","",IF(A31&lt;Paramètres!$B$4,M31,MAX(E31,M31)))</f>
        <v/>
      </c>
      <c r="O31" s="13" t="str">
        <f aca="false">IF($A31="","",SUMIFS(Dépenses!$B$5:$B$504,Dépenses!$E$5:$E$504,A31))</f>
        <v/>
      </c>
      <c r="P31" s="13" t="str">
        <f aca="true">IF($A31="","",IF(A31&gt;Paramètres!$B$4,0,SUMIFS(Dépenses!$B$5:$B$504,Dépenses!$E$5:$E$504,A31,Dépenses!$A$5:$A$504,"&lt;="&amp;TODAY())))</f>
        <v/>
      </c>
      <c r="Q31" s="13" t="str">
        <f aca="false">IF($A31="","",I31-K31-N31-O31)</f>
        <v/>
      </c>
      <c r="R31" s="2" t="str">
        <f aca="false">IF($A31="","",IF(A31&lt;Paramètres!$B$4,"terminé",IF(A31=Paramètres!$B$4,"en cours","à venir")))</f>
        <v/>
      </c>
    </row>
    <row r="32" customFormat="false" ht="15" hidden="false" customHeight="false" outlineLevel="0" collapsed="false">
      <c r="A32" s="37"/>
      <c r="B32" s="34"/>
      <c r="C32" s="42"/>
      <c r="D32" s="42"/>
      <c r="E32" s="34"/>
      <c r="F32" s="13" t="str">
        <f aca="false">IF($A32="","",MAX(0,Paramètres!$B$9+C32*(Paramètres!$B$10+Paramètres!$B$11)-D32*Paramètres!$B$14*Paramètres!$B$13))</f>
        <v/>
      </c>
      <c r="G32" s="13" t="str">
        <f aca="false">IF($A32="","",MAX(0,Paramètres!$B$15+Paramètres!$B$17*(F32-Paramètres!$B$16)))</f>
        <v/>
      </c>
      <c r="H32" s="13" t="str">
        <f aca="false">IF($A32="","",MAX(0,ROUND(F32-G32+C32*Paramètres!$B$12,2)))</f>
        <v/>
      </c>
      <c r="I32" s="13" t="str">
        <f aca="false">IF($A32="","",IF(B32="",H32,B32))</f>
        <v/>
      </c>
      <c r="J32" s="2" t="str">
        <f aca="false">IF($A32="","",IF(B32="","≈ estimé","reçu"))</f>
        <v/>
      </c>
      <c r="K32" s="13" t="str">
        <f aca="false">IF($A32="","",SUMIFS(Charges!$C$5:$C$504,Charges!$A$5:$A$504,A32))</f>
        <v/>
      </c>
      <c r="L32" s="13" t="str">
        <f aca="false">IF($A32="","",SUMIFS(Charges!$C$5:$C$504,Charges!$A$5:$A$504,A32,Charges!$E$5:$E$504,"Oui"))</f>
        <v/>
      </c>
      <c r="M32" s="13" t="str">
        <f aca="false">IF($A32="","",SUMIFS(Épargne!$C$8:$C$507,Épargne!$B$8:$B$507,A32))</f>
        <v/>
      </c>
      <c r="N32" s="13" t="str">
        <f aca="false">IF($A32="","",IF(A32&lt;Paramètres!$B$4,M32,MAX(E32,M32)))</f>
        <v/>
      </c>
      <c r="O32" s="13" t="str">
        <f aca="false">IF($A32="","",SUMIFS(Dépenses!$B$5:$B$504,Dépenses!$E$5:$E$504,A32))</f>
        <v/>
      </c>
      <c r="P32" s="13" t="str">
        <f aca="true">IF($A32="","",IF(A32&gt;Paramètres!$B$4,0,SUMIFS(Dépenses!$B$5:$B$504,Dépenses!$E$5:$E$504,A32,Dépenses!$A$5:$A$504,"&lt;="&amp;TODAY())))</f>
        <v/>
      </c>
      <c r="Q32" s="13" t="str">
        <f aca="false">IF($A32="","",I32-K32-N32-O32)</f>
        <v/>
      </c>
      <c r="R32" s="2" t="str">
        <f aca="false">IF($A32="","",IF(A32&lt;Paramètres!$B$4,"terminé",IF(A32=Paramètres!$B$4,"en cours","à venir")))</f>
        <v/>
      </c>
    </row>
    <row r="33" customFormat="false" ht="15" hidden="false" customHeight="false" outlineLevel="0" collapsed="false">
      <c r="A33" s="37"/>
      <c r="B33" s="34"/>
      <c r="C33" s="42"/>
      <c r="D33" s="42"/>
      <c r="E33" s="34"/>
      <c r="F33" s="13" t="str">
        <f aca="false">IF($A33="","",MAX(0,Paramètres!$B$9+C33*(Paramètres!$B$10+Paramètres!$B$11)-D33*Paramètres!$B$14*Paramètres!$B$13))</f>
        <v/>
      </c>
      <c r="G33" s="13" t="str">
        <f aca="false">IF($A33="","",MAX(0,Paramètres!$B$15+Paramètres!$B$17*(F33-Paramètres!$B$16)))</f>
        <v/>
      </c>
      <c r="H33" s="13" t="str">
        <f aca="false">IF($A33="","",MAX(0,ROUND(F33-G33+C33*Paramètres!$B$12,2)))</f>
        <v/>
      </c>
      <c r="I33" s="13" t="str">
        <f aca="false">IF($A33="","",IF(B33="",H33,B33))</f>
        <v/>
      </c>
      <c r="J33" s="2" t="str">
        <f aca="false">IF($A33="","",IF(B33="","≈ estimé","reçu"))</f>
        <v/>
      </c>
      <c r="K33" s="13" t="str">
        <f aca="false">IF($A33="","",SUMIFS(Charges!$C$5:$C$504,Charges!$A$5:$A$504,A33))</f>
        <v/>
      </c>
      <c r="L33" s="13" t="str">
        <f aca="false">IF($A33="","",SUMIFS(Charges!$C$5:$C$504,Charges!$A$5:$A$504,A33,Charges!$E$5:$E$504,"Oui"))</f>
        <v/>
      </c>
      <c r="M33" s="13" t="str">
        <f aca="false">IF($A33="","",SUMIFS(Épargne!$C$8:$C$507,Épargne!$B$8:$B$507,A33))</f>
        <v/>
      </c>
      <c r="N33" s="13" t="str">
        <f aca="false">IF($A33="","",IF(A33&lt;Paramètres!$B$4,M33,MAX(E33,M33)))</f>
        <v/>
      </c>
      <c r="O33" s="13" t="str">
        <f aca="false">IF($A33="","",SUMIFS(Dépenses!$B$5:$B$504,Dépenses!$E$5:$E$504,A33))</f>
        <v/>
      </c>
      <c r="P33" s="13" t="str">
        <f aca="true">IF($A33="","",IF(A33&gt;Paramètres!$B$4,0,SUMIFS(Dépenses!$B$5:$B$504,Dépenses!$E$5:$E$504,A33,Dépenses!$A$5:$A$504,"&lt;="&amp;TODAY())))</f>
        <v/>
      </c>
      <c r="Q33" s="13" t="str">
        <f aca="false">IF($A33="","",I33-K33-N33-O33)</f>
        <v/>
      </c>
      <c r="R33" s="2" t="str">
        <f aca="false">IF($A33="","",IF(A33&lt;Paramètres!$B$4,"terminé",IF(A33=Paramètres!$B$4,"en cours","à venir")))</f>
        <v/>
      </c>
    </row>
    <row r="34" customFormat="false" ht="15" hidden="false" customHeight="false" outlineLevel="0" collapsed="false">
      <c r="A34" s="37"/>
      <c r="B34" s="34"/>
      <c r="C34" s="42"/>
      <c r="D34" s="42"/>
      <c r="E34" s="34"/>
      <c r="F34" s="13" t="str">
        <f aca="false">IF($A34="","",MAX(0,Paramètres!$B$9+C34*(Paramètres!$B$10+Paramètres!$B$11)-D34*Paramètres!$B$14*Paramètres!$B$13))</f>
        <v/>
      </c>
      <c r="G34" s="13" t="str">
        <f aca="false">IF($A34="","",MAX(0,Paramètres!$B$15+Paramètres!$B$17*(F34-Paramètres!$B$16)))</f>
        <v/>
      </c>
      <c r="H34" s="13" t="str">
        <f aca="false">IF($A34="","",MAX(0,ROUND(F34-G34+C34*Paramètres!$B$12,2)))</f>
        <v/>
      </c>
      <c r="I34" s="13" t="str">
        <f aca="false">IF($A34="","",IF(B34="",H34,B34))</f>
        <v/>
      </c>
      <c r="J34" s="2" t="str">
        <f aca="false">IF($A34="","",IF(B34="","≈ estimé","reçu"))</f>
        <v/>
      </c>
      <c r="K34" s="13" t="str">
        <f aca="false">IF($A34="","",SUMIFS(Charges!$C$5:$C$504,Charges!$A$5:$A$504,A34))</f>
        <v/>
      </c>
      <c r="L34" s="13" t="str">
        <f aca="false">IF($A34="","",SUMIFS(Charges!$C$5:$C$504,Charges!$A$5:$A$504,A34,Charges!$E$5:$E$504,"Oui"))</f>
        <v/>
      </c>
      <c r="M34" s="13" t="str">
        <f aca="false">IF($A34="","",SUMIFS(Épargne!$C$8:$C$507,Épargne!$B$8:$B$507,A34))</f>
        <v/>
      </c>
      <c r="N34" s="13" t="str">
        <f aca="false">IF($A34="","",IF(A34&lt;Paramètres!$B$4,M34,MAX(E34,M34)))</f>
        <v/>
      </c>
      <c r="O34" s="13" t="str">
        <f aca="false">IF($A34="","",SUMIFS(Dépenses!$B$5:$B$504,Dépenses!$E$5:$E$504,A34))</f>
        <v/>
      </c>
      <c r="P34" s="13" t="str">
        <f aca="true">IF($A34="","",IF(A34&gt;Paramètres!$B$4,0,SUMIFS(Dépenses!$B$5:$B$504,Dépenses!$E$5:$E$504,A34,Dépenses!$A$5:$A$504,"&lt;="&amp;TODAY())))</f>
        <v/>
      </c>
      <c r="Q34" s="13" t="str">
        <f aca="false">IF($A34="","",I34-K34-N34-O34)</f>
        <v/>
      </c>
      <c r="R34" s="2" t="str">
        <f aca="false">IF($A34="","",IF(A34&lt;Paramètres!$B$4,"terminé",IF(A34=Paramètres!$B$4,"en cours","à venir")))</f>
        <v/>
      </c>
    </row>
    <row r="35" customFormat="false" ht="15" hidden="false" customHeight="false" outlineLevel="0" collapsed="false">
      <c r="A35" s="37"/>
      <c r="B35" s="34"/>
      <c r="C35" s="42"/>
      <c r="D35" s="42"/>
      <c r="E35" s="34"/>
      <c r="F35" s="13" t="str">
        <f aca="false">IF($A35="","",MAX(0,Paramètres!$B$9+C35*(Paramètres!$B$10+Paramètres!$B$11)-D35*Paramètres!$B$14*Paramètres!$B$13))</f>
        <v/>
      </c>
      <c r="G35" s="13" t="str">
        <f aca="false">IF($A35="","",MAX(0,Paramètres!$B$15+Paramètres!$B$17*(F35-Paramètres!$B$16)))</f>
        <v/>
      </c>
      <c r="H35" s="13" t="str">
        <f aca="false">IF($A35="","",MAX(0,ROUND(F35-G35+C35*Paramètres!$B$12,2)))</f>
        <v/>
      </c>
      <c r="I35" s="13" t="str">
        <f aca="false">IF($A35="","",IF(B35="",H35,B35))</f>
        <v/>
      </c>
      <c r="J35" s="2" t="str">
        <f aca="false">IF($A35="","",IF(B35="","≈ estimé","reçu"))</f>
        <v/>
      </c>
      <c r="K35" s="13" t="str">
        <f aca="false">IF($A35="","",SUMIFS(Charges!$C$5:$C$504,Charges!$A$5:$A$504,A35))</f>
        <v/>
      </c>
      <c r="L35" s="13" t="str">
        <f aca="false">IF($A35="","",SUMIFS(Charges!$C$5:$C$504,Charges!$A$5:$A$504,A35,Charges!$E$5:$E$504,"Oui"))</f>
        <v/>
      </c>
      <c r="M35" s="13" t="str">
        <f aca="false">IF($A35="","",SUMIFS(Épargne!$C$8:$C$507,Épargne!$B$8:$B$507,A35))</f>
        <v/>
      </c>
      <c r="N35" s="13" t="str">
        <f aca="false">IF($A35="","",IF(A35&lt;Paramètres!$B$4,M35,MAX(E35,M35)))</f>
        <v/>
      </c>
      <c r="O35" s="13" t="str">
        <f aca="false">IF($A35="","",SUMIFS(Dépenses!$B$5:$B$504,Dépenses!$E$5:$E$504,A35))</f>
        <v/>
      </c>
      <c r="P35" s="13" t="str">
        <f aca="true">IF($A35="","",IF(A35&gt;Paramètres!$B$4,0,SUMIFS(Dépenses!$B$5:$B$504,Dépenses!$E$5:$E$504,A35,Dépenses!$A$5:$A$504,"&lt;="&amp;TODAY())))</f>
        <v/>
      </c>
      <c r="Q35" s="13" t="str">
        <f aca="false">IF($A35="","",I35-K35-N35-O35)</f>
        <v/>
      </c>
      <c r="R35" s="2" t="str">
        <f aca="false">IF($A35="","",IF(A35&lt;Paramètres!$B$4,"terminé",IF(A35=Paramètres!$B$4,"en cours","à venir")))</f>
        <v/>
      </c>
    </row>
    <row r="36" customFormat="false" ht="15" hidden="false" customHeight="false" outlineLevel="0" collapsed="false">
      <c r="A36" s="37"/>
      <c r="B36" s="34"/>
      <c r="C36" s="42"/>
      <c r="D36" s="42"/>
      <c r="E36" s="34"/>
      <c r="F36" s="13" t="str">
        <f aca="false">IF($A36="","",MAX(0,Paramètres!$B$9+C36*(Paramètres!$B$10+Paramètres!$B$11)-D36*Paramètres!$B$14*Paramètres!$B$13))</f>
        <v/>
      </c>
      <c r="G36" s="13" t="str">
        <f aca="false">IF($A36="","",MAX(0,Paramètres!$B$15+Paramètres!$B$17*(F36-Paramètres!$B$16)))</f>
        <v/>
      </c>
      <c r="H36" s="13" t="str">
        <f aca="false">IF($A36="","",MAX(0,ROUND(F36-G36+C36*Paramètres!$B$12,2)))</f>
        <v/>
      </c>
      <c r="I36" s="13" t="str">
        <f aca="false">IF($A36="","",IF(B36="",H36,B36))</f>
        <v/>
      </c>
      <c r="J36" s="2" t="str">
        <f aca="false">IF($A36="","",IF(B36="","≈ estimé","reçu"))</f>
        <v/>
      </c>
      <c r="K36" s="13" t="str">
        <f aca="false">IF($A36="","",SUMIFS(Charges!$C$5:$C$504,Charges!$A$5:$A$504,A36))</f>
        <v/>
      </c>
      <c r="L36" s="13" t="str">
        <f aca="false">IF($A36="","",SUMIFS(Charges!$C$5:$C$504,Charges!$A$5:$A$504,A36,Charges!$E$5:$E$504,"Oui"))</f>
        <v/>
      </c>
      <c r="M36" s="13" t="str">
        <f aca="false">IF($A36="","",SUMIFS(Épargne!$C$8:$C$507,Épargne!$B$8:$B$507,A36))</f>
        <v/>
      </c>
      <c r="N36" s="13" t="str">
        <f aca="false">IF($A36="","",IF(A36&lt;Paramètres!$B$4,M36,MAX(E36,M36)))</f>
        <v/>
      </c>
      <c r="O36" s="13" t="str">
        <f aca="false">IF($A36="","",SUMIFS(Dépenses!$B$5:$B$504,Dépenses!$E$5:$E$504,A36))</f>
        <v/>
      </c>
      <c r="P36" s="13" t="str">
        <f aca="true">IF($A36="","",IF(A36&gt;Paramètres!$B$4,0,SUMIFS(Dépenses!$B$5:$B$504,Dépenses!$E$5:$E$504,A36,Dépenses!$A$5:$A$504,"&lt;="&amp;TODAY())))</f>
        <v/>
      </c>
      <c r="Q36" s="13" t="str">
        <f aca="false">IF($A36="","",I36-K36-N36-O36)</f>
        <v/>
      </c>
      <c r="R36" s="2" t="str">
        <f aca="false">IF($A36="","",IF(A36&lt;Paramètres!$B$4,"terminé",IF(A36=Paramètres!$B$4,"en cours","à venir")))</f>
        <v/>
      </c>
    </row>
    <row r="37" customFormat="false" ht="15" hidden="false" customHeight="false" outlineLevel="0" collapsed="false">
      <c r="A37" s="37"/>
      <c r="B37" s="34"/>
      <c r="C37" s="42"/>
      <c r="D37" s="42"/>
      <c r="E37" s="34"/>
      <c r="F37" s="13" t="str">
        <f aca="false">IF($A37="","",MAX(0,Paramètres!$B$9+C37*(Paramètres!$B$10+Paramètres!$B$11)-D37*Paramètres!$B$14*Paramètres!$B$13))</f>
        <v/>
      </c>
      <c r="G37" s="13" t="str">
        <f aca="false">IF($A37="","",MAX(0,Paramètres!$B$15+Paramètres!$B$17*(F37-Paramètres!$B$16)))</f>
        <v/>
      </c>
      <c r="H37" s="13" t="str">
        <f aca="false">IF($A37="","",MAX(0,ROUND(F37-G37+C37*Paramètres!$B$12,2)))</f>
        <v/>
      </c>
      <c r="I37" s="13" t="str">
        <f aca="false">IF($A37="","",IF(B37="",H37,B37))</f>
        <v/>
      </c>
      <c r="J37" s="2" t="str">
        <f aca="false">IF($A37="","",IF(B37="","≈ estimé","reçu"))</f>
        <v/>
      </c>
      <c r="K37" s="13" t="str">
        <f aca="false">IF($A37="","",SUMIFS(Charges!$C$5:$C$504,Charges!$A$5:$A$504,A37))</f>
        <v/>
      </c>
      <c r="L37" s="13" t="str">
        <f aca="false">IF($A37="","",SUMIFS(Charges!$C$5:$C$504,Charges!$A$5:$A$504,A37,Charges!$E$5:$E$504,"Oui"))</f>
        <v/>
      </c>
      <c r="M37" s="13" t="str">
        <f aca="false">IF($A37="","",SUMIFS(Épargne!$C$8:$C$507,Épargne!$B$8:$B$507,A37))</f>
        <v/>
      </c>
      <c r="N37" s="13" t="str">
        <f aca="false">IF($A37="","",IF(A37&lt;Paramètres!$B$4,M37,MAX(E37,M37)))</f>
        <v/>
      </c>
      <c r="O37" s="13" t="str">
        <f aca="false">IF($A37="","",SUMIFS(Dépenses!$B$5:$B$504,Dépenses!$E$5:$E$504,A37))</f>
        <v/>
      </c>
      <c r="P37" s="13" t="str">
        <f aca="true">IF($A37="","",IF(A37&gt;Paramètres!$B$4,0,SUMIFS(Dépenses!$B$5:$B$504,Dépenses!$E$5:$E$504,A37,Dépenses!$A$5:$A$504,"&lt;="&amp;TODAY())))</f>
        <v/>
      </c>
      <c r="Q37" s="13" t="str">
        <f aca="false">IF($A37="","",I37-K37-N37-O37)</f>
        <v/>
      </c>
      <c r="R37" s="2" t="str">
        <f aca="false">IF($A37="","",IF(A37&lt;Paramètres!$B$4,"terminé",IF(A37=Paramètres!$B$4,"en cours","à venir")))</f>
        <v/>
      </c>
    </row>
    <row r="38" customFormat="false" ht="15" hidden="false" customHeight="false" outlineLevel="0" collapsed="false">
      <c r="A38" s="37"/>
      <c r="B38" s="34"/>
      <c r="C38" s="42"/>
      <c r="D38" s="42"/>
      <c r="E38" s="34"/>
      <c r="F38" s="13" t="str">
        <f aca="false">IF($A38="","",MAX(0,Paramètres!$B$9+C38*(Paramètres!$B$10+Paramètres!$B$11)-D38*Paramètres!$B$14*Paramètres!$B$13))</f>
        <v/>
      </c>
      <c r="G38" s="13" t="str">
        <f aca="false">IF($A38="","",MAX(0,Paramètres!$B$15+Paramètres!$B$17*(F38-Paramètres!$B$16)))</f>
        <v/>
      </c>
      <c r="H38" s="13" t="str">
        <f aca="false">IF($A38="","",MAX(0,ROUND(F38-G38+C38*Paramètres!$B$12,2)))</f>
        <v/>
      </c>
      <c r="I38" s="13" t="str">
        <f aca="false">IF($A38="","",IF(B38="",H38,B38))</f>
        <v/>
      </c>
      <c r="J38" s="2" t="str">
        <f aca="false">IF($A38="","",IF(B38="","≈ estimé","reçu"))</f>
        <v/>
      </c>
      <c r="K38" s="13" t="str">
        <f aca="false">IF($A38="","",SUMIFS(Charges!$C$5:$C$504,Charges!$A$5:$A$504,A38))</f>
        <v/>
      </c>
      <c r="L38" s="13" t="str">
        <f aca="false">IF($A38="","",SUMIFS(Charges!$C$5:$C$504,Charges!$A$5:$A$504,A38,Charges!$E$5:$E$504,"Oui"))</f>
        <v/>
      </c>
      <c r="M38" s="13" t="str">
        <f aca="false">IF($A38="","",SUMIFS(Épargne!$C$8:$C$507,Épargne!$B$8:$B$507,A38))</f>
        <v/>
      </c>
      <c r="N38" s="13" t="str">
        <f aca="false">IF($A38="","",IF(A38&lt;Paramètres!$B$4,M38,MAX(E38,M38)))</f>
        <v/>
      </c>
      <c r="O38" s="13" t="str">
        <f aca="false">IF($A38="","",SUMIFS(Dépenses!$B$5:$B$504,Dépenses!$E$5:$E$504,A38))</f>
        <v/>
      </c>
      <c r="P38" s="13" t="str">
        <f aca="true">IF($A38="","",IF(A38&gt;Paramètres!$B$4,0,SUMIFS(Dépenses!$B$5:$B$504,Dépenses!$E$5:$E$504,A38,Dépenses!$A$5:$A$504,"&lt;="&amp;TODAY())))</f>
        <v/>
      </c>
      <c r="Q38" s="13" t="str">
        <f aca="false">IF($A38="","",I38-K38-N38-O38)</f>
        <v/>
      </c>
      <c r="R38" s="2" t="str">
        <f aca="false">IF($A38="","",IF(A38&lt;Paramètres!$B$4,"terminé",IF(A38=Paramètres!$B$4,"en cours","à venir")))</f>
        <v/>
      </c>
    </row>
    <row r="39" customFormat="false" ht="15" hidden="false" customHeight="false" outlineLevel="0" collapsed="false">
      <c r="A39" s="37"/>
      <c r="B39" s="34"/>
      <c r="C39" s="42"/>
      <c r="D39" s="42"/>
      <c r="E39" s="34"/>
      <c r="F39" s="13" t="str">
        <f aca="false">IF($A39="","",MAX(0,Paramètres!$B$9+C39*(Paramètres!$B$10+Paramètres!$B$11)-D39*Paramètres!$B$14*Paramètres!$B$13))</f>
        <v/>
      </c>
      <c r="G39" s="13" t="str">
        <f aca="false">IF($A39="","",MAX(0,Paramètres!$B$15+Paramètres!$B$17*(F39-Paramètres!$B$16)))</f>
        <v/>
      </c>
      <c r="H39" s="13" t="str">
        <f aca="false">IF($A39="","",MAX(0,ROUND(F39-G39+C39*Paramètres!$B$12,2)))</f>
        <v/>
      </c>
      <c r="I39" s="13" t="str">
        <f aca="false">IF($A39="","",IF(B39="",H39,B39))</f>
        <v/>
      </c>
      <c r="J39" s="2" t="str">
        <f aca="false">IF($A39="","",IF(B39="","≈ estimé","reçu"))</f>
        <v/>
      </c>
      <c r="K39" s="13" t="str">
        <f aca="false">IF($A39="","",SUMIFS(Charges!$C$5:$C$504,Charges!$A$5:$A$504,A39))</f>
        <v/>
      </c>
      <c r="L39" s="13" t="str">
        <f aca="false">IF($A39="","",SUMIFS(Charges!$C$5:$C$504,Charges!$A$5:$A$504,A39,Charges!$E$5:$E$504,"Oui"))</f>
        <v/>
      </c>
      <c r="M39" s="13" t="str">
        <f aca="false">IF($A39="","",SUMIFS(Épargne!$C$8:$C$507,Épargne!$B$8:$B$507,A39))</f>
        <v/>
      </c>
      <c r="N39" s="13" t="str">
        <f aca="false">IF($A39="","",IF(A39&lt;Paramètres!$B$4,M39,MAX(E39,M39)))</f>
        <v/>
      </c>
      <c r="O39" s="13" t="str">
        <f aca="false">IF($A39="","",SUMIFS(Dépenses!$B$5:$B$504,Dépenses!$E$5:$E$504,A39))</f>
        <v/>
      </c>
      <c r="P39" s="13" t="str">
        <f aca="true">IF($A39="","",IF(A39&gt;Paramètres!$B$4,0,SUMIFS(Dépenses!$B$5:$B$504,Dépenses!$E$5:$E$504,A39,Dépenses!$A$5:$A$504,"&lt;="&amp;TODAY())))</f>
        <v/>
      </c>
      <c r="Q39" s="13" t="str">
        <f aca="false">IF($A39="","",I39-K39-N39-O39)</f>
        <v/>
      </c>
      <c r="R39" s="2" t="str">
        <f aca="false">IF($A39="","",IF(A39&lt;Paramètres!$B$4,"terminé",IF(A39=Paramètres!$B$4,"en cours","à venir")))</f>
        <v/>
      </c>
    </row>
    <row r="40" customFormat="false" ht="15" hidden="false" customHeight="false" outlineLevel="0" collapsed="false">
      <c r="A40" s="37"/>
      <c r="B40" s="34"/>
      <c r="C40" s="42"/>
      <c r="D40" s="42"/>
      <c r="E40" s="34"/>
      <c r="F40" s="13" t="str">
        <f aca="false">IF($A40="","",MAX(0,Paramètres!$B$9+C40*(Paramètres!$B$10+Paramètres!$B$11)-D40*Paramètres!$B$14*Paramètres!$B$13))</f>
        <v/>
      </c>
      <c r="G40" s="13" t="str">
        <f aca="false">IF($A40="","",MAX(0,Paramètres!$B$15+Paramètres!$B$17*(F40-Paramètres!$B$16)))</f>
        <v/>
      </c>
      <c r="H40" s="13" t="str">
        <f aca="false">IF($A40="","",MAX(0,ROUND(F40-G40+C40*Paramètres!$B$12,2)))</f>
        <v/>
      </c>
      <c r="I40" s="13" t="str">
        <f aca="false">IF($A40="","",IF(B40="",H40,B40))</f>
        <v/>
      </c>
      <c r="J40" s="2" t="str">
        <f aca="false">IF($A40="","",IF(B40="","≈ estimé","reçu"))</f>
        <v/>
      </c>
      <c r="K40" s="13" t="str">
        <f aca="false">IF($A40="","",SUMIFS(Charges!$C$5:$C$504,Charges!$A$5:$A$504,A40))</f>
        <v/>
      </c>
      <c r="L40" s="13" t="str">
        <f aca="false">IF($A40="","",SUMIFS(Charges!$C$5:$C$504,Charges!$A$5:$A$504,A40,Charges!$E$5:$E$504,"Oui"))</f>
        <v/>
      </c>
      <c r="M40" s="13" t="str">
        <f aca="false">IF($A40="","",SUMIFS(Épargne!$C$8:$C$507,Épargne!$B$8:$B$507,A40))</f>
        <v/>
      </c>
      <c r="N40" s="13" t="str">
        <f aca="false">IF($A40="","",IF(A40&lt;Paramètres!$B$4,M40,MAX(E40,M40)))</f>
        <v/>
      </c>
      <c r="O40" s="13" t="str">
        <f aca="false">IF($A40="","",SUMIFS(Dépenses!$B$5:$B$504,Dépenses!$E$5:$E$504,A40))</f>
        <v/>
      </c>
      <c r="P40" s="13" t="str">
        <f aca="true">IF($A40="","",IF(A40&gt;Paramètres!$B$4,0,SUMIFS(Dépenses!$B$5:$B$504,Dépenses!$E$5:$E$504,A40,Dépenses!$A$5:$A$504,"&lt;="&amp;TODAY())))</f>
        <v/>
      </c>
      <c r="Q40" s="13" t="str">
        <f aca="false">IF($A40="","",I40-K40-N40-O40)</f>
        <v/>
      </c>
      <c r="R40" s="2" t="str">
        <f aca="false">IF($A40="","",IF(A40&lt;Paramètres!$B$4,"terminé",IF(A40=Paramètres!$B$4,"en cours","à venir")))</f>
        <v/>
      </c>
    </row>
  </sheetData>
  <conditionalFormatting sqref="Q5:Q40">
    <cfRule type="cellIs" priority="2" operator="lessThan" aboveAverage="0" equalAverage="0" bottom="0" percent="0" rank="0" text="" dxfId="3">
      <formula>0</formula>
    </cfRule>
  </conditionalFormatting>
  <conditionalFormatting sqref="A5:R40">
    <cfRule type="expression" priority="3" aboveAverage="0" equalAverage="0" bottom="0" percent="0" rank="0" text="" dxfId="4">
      <formula>$A5=Paramètres!$B$4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6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25" t="s">
        <v>121</v>
      </c>
      <c r="B1" s="2"/>
      <c r="C1" s="2"/>
      <c r="D1" s="2"/>
      <c r="E1" s="2"/>
    </row>
    <row r="2" customFormat="false" ht="15" hidden="false" customHeight="false" outlineLevel="0" collapsed="false">
      <c r="A2" s="3" t="s">
        <v>122</v>
      </c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2" t="s">
        <v>123</v>
      </c>
      <c r="B4" s="43" t="s">
        <v>79</v>
      </c>
      <c r="C4" s="24" t="str">
        <f aca="false">IFERROR(INDEX(Mois!$R$5:$R$40,MATCH(B4,Mois!$A$5:$A$40,0))&amp;" · salaire "&amp;INDEX(Mois!$J$5:$J$40,MATCH(B4,Mois!$A$5:$A$40,0)),"")</f>
        <v>terminé · salaire reçu</v>
      </c>
      <c r="D4" s="2"/>
      <c r="E4" s="2"/>
    </row>
    <row r="5" customFormat="false" ht="15" hidden="false" customHeight="false" outlineLevel="0" collapsed="false">
      <c r="A5" s="2" t="s">
        <v>124</v>
      </c>
      <c r="B5" s="43" t="s">
        <v>3</v>
      </c>
      <c r="C5" s="24" t="str">
        <f aca="false">IFERROR(INDEX(Mois!$R$5:$R$40,MATCH(B5,Mois!$A$5:$A$40,0))&amp;" · salaire "&amp;INDEX(Mois!$J$5:$J$40,MATCH(B5,Mois!$A$5:$A$40,0)),"")</f>
        <v>en cours · salaire ≈ estimé</v>
      </c>
      <c r="D5" s="2"/>
      <c r="E5" s="2"/>
    </row>
    <row r="6" customFormat="false" ht="15" hidden="false" customHeight="false" outlineLevel="0" collapsed="false">
      <c r="A6" s="2"/>
      <c r="B6" s="2"/>
      <c r="C6" s="2"/>
      <c r="D6" s="2"/>
      <c r="E6" s="2"/>
    </row>
    <row r="7" customFormat="false" ht="30" hidden="false" customHeight="true" outlineLevel="0" collapsed="false">
      <c r="A7" s="10"/>
      <c r="B7" s="10" t="s">
        <v>125</v>
      </c>
      <c r="C7" s="10" t="s">
        <v>126</v>
      </c>
      <c r="D7" s="10" t="s">
        <v>127</v>
      </c>
      <c r="E7" s="10" t="s">
        <v>128</v>
      </c>
    </row>
    <row r="8" customFormat="false" ht="15" hidden="false" customHeight="false" outlineLevel="0" collapsed="false">
      <c r="A8" s="4" t="s">
        <v>114</v>
      </c>
      <c r="B8" s="13" t="n">
        <f aca="false">IFERROR(INDEX(Mois!$I$5:$I$40,MATCH($B$4,Mois!$A$5:$A$40,0)),0)</f>
        <v>1400</v>
      </c>
      <c r="C8" s="13" t="n">
        <f aca="false">IFERROR(INDEX(Mois!$I$5:$I$40,MATCH($B$5,Mois!$A$5:$A$40,0)),0)</f>
        <v>1494.97</v>
      </c>
      <c r="D8" s="44" t="n">
        <f aca="false">C8-B8</f>
        <v>94.97</v>
      </c>
      <c r="E8" s="45" t="n">
        <f aca="false">IF(B8&gt;=1,(C8-B8)/B8,"—")</f>
        <v>0.0678357142857143</v>
      </c>
    </row>
    <row r="9" customFormat="false" ht="15" hidden="false" customHeight="false" outlineLevel="0" collapsed="false">
      <c r="A9" s="4" t="s">
        <v>74</v>
      </c>
      <c r="B9" s="13" t="n">
        <f aca="false">IFERROR(INDEX(Mois!$K$5:$K$40,MATCH($B$4,Mois!$A$5:$A$40,0)),0)</f>
        <v>470</v>
      </c>
      <c r="C9" s="13" t="n">
        <f aca="false">IFERROR(INDEX(Mois!$K$5:$K$40,MATCH($B$5,Mois!$A$5:$A$40,0)),0)</f>
        <v>470</v>
      </c>
      <c r="D9" s="44" t="n">
        <f aca="false">C9-B9</f>
        <v>0</v>
      </c>
      <c r="E9" s="45" t="n">
        <f aca="false">IF(B9&gt;=1,(C9-B9)/B9,"—")</f>
        <v>0</v>
      </c>
    </row>
    <row r="10" customFormat="false" ht="15" hidden="false" customHeight="false" outlineLevel="0" collapsed="false">
      <c r="A10" s="4" t="s">
        <v>63</v>
      </c>
      <c r="B10" s="13" t="n">
        <f aca="false">IFERROR(INDEX(Mois!$O$5:$O$40,MATCH($B$4,Mois!$A$5:$A$40,0)),0)</f>
        <v>95</v>
      </c>
      <c r="C10" s="13" t="n">
        <f aca="false">IFERROR(INDEX(Mois!$O$5:$O$40,MATCH($B$5,Mois!$A$5:$A$40,0)),0)</f>
        <v>160</v>
      </c>
      <c r="D10" s="44" t="n">
        <f aca="false">C10-B10</f>
        <v>65</v>
      </c>
      <c r="E10" s="45" t="n">
        <f aca="false">IF(B10&gt;=1,(C10-B10)/B10,"—")</f>
        <v>0.68421052631579</v>
      </c>
    </row>
    <row r="11" customFormat="false" ht="15" hidden="false" customHeight="false" outlineLevel="0" collapsed="false">
      <c r="A11" s="4" t="s">
        <v>117</v>
      </c>
      <c r="B11" s="13" t="n">
        <f aca="false">IFERROR(INDEX(Mois!$M$5:$M$40,MATCH($B$4,Mois!$A$5:$A$40,0)),0)</f>
        <v>0</v>
      </c>
      <c r="C11" s="13" t="n">
        <f aca="false">IFERROR(INDEX(Mois!$M$5:$M$40,MATCH($B$5,Mois!$A$5:$A$40,0)),0)</f>
        <v>100</v>
      </c>
      <c r="D11" s="44" t="n">
        <f aca="false">C11-B11</f>
        <v>100</v>
      </c>
      <c r="E11" s="45" t="str">
        <f aca="false">IF(B11&gt;=1,(C11-B11)/B11,"—")</f>
        <v>—</v>
      </c>
    </row>
    <row r="12" customFormat="false" ht="15" hidden="false" customHeight="false" outlineLevel="0" collapsed="false">
      <c r="A12" s="4" t="s">
        <v>120</v>
      </c>
      <c r="B12" s="13" t="n">
        <f aca="false">IFERROR(INDEX(Mois!$Q$5:$Q$40,MATCH($B$4,Mois!$A$5:$A$40,0)),0)</f>
        <v>835</v>
      </c>
      <c r="C12" s="13" t="n">
        <f aca="false">IFERROR(INDEX(Mois!$Q$5:$Q$40,MATCH($B$5,Mois!$A$5:$A$40,0)),0)</f>
        <v>764.97</v>
      </c>
      <c r="D12" s="44" t="n">
        <f aca="false">C12-B12</f>
        <v>-70.03</v>
      </c>
      <c r="E12" s="45" t="n">
        <f aca="false">IF(B12&gt;=1,(C12-B12)/B12,"—")</f>
        <v>-0.0838682634730539</v>
      </c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7" t="s">
        <v>129</v>
      </c>
      <c r="B14" s="2"/>
      <c r="C14" s="2"/>
      <c r="D14" s="2"/>
      <c r="E14" s="2"/>
    </row>
    <row r="15" customFormat="false" ht="15" hidden="false" customHeight="false" outlineLevel="0" collapsed="false">
      <c r="A15" s="12" t="str">
        <f aca="false">IF(Paramètres!A22="","",Paramètres!A22)</f>
        <v>Transport</v>
      </c>
      <c r="B15" s="13" t="n">
        <f aca="false">IF($A15="","",SUMIFS(Dépenses!$B$5:$B$504,Dépenses!$E$5:$E$504,$B$4,Dépenses!$C$5:$C$504,$A15))</f>
        <v>35</v>
      </c>
      <c r="C15" s="13" t="n">
        <f aca="false">IF($A15="","",SUMIFS(Dépenses!$B$5:$B$504,Dépenses!$E$5:$E$504,$B$5,Dépenses!$C$5:$C$504,$A15))</f>
        <v>0</v>
      </c>
      <c r="D15" s="44" t="n">
        <f aca="false">IF($A15="","",C15-B15)</f>
        <v>-35</v>
      </c>
      <c r="E15" s="45" t="n">
        <f aca="false">IF($A15="","",IF(B15&gt;=1,(C15-B15)/B15,"—"))</f>
        <v>-1</v>
      </c>
    </row>
    <row r="16" customFormat="false" ht="15" hidden="false" customHeight="false" outlineLevel="0" collapsed="false">
      <c r="A16" s="12" t="str">
        <f aca="false">IF(Paramètres!A23="","",Paramètres!A23)</f>
        <v>Courses</v>
      </c>
      <c r="B16" s="13" t="n">
        <f aca="false">IF($A16="","",SUMIFS(Dépenses!$B$5:$B$504,Dépenses!$E$5:$E$504,$B$4,Dépenses!$C$5:$C$504,$A16))</f>
        <v>40</v>
      </c>
      <c r="C16" s="13" t="n">
        <f aca="false">IF($A16="","",SUMIFS(Dépenses!$B$5:$B$504,Dépenses!$E$5:$E$504,$B$5,Dépenses!$C$5:$C$504,$A16))</f>
        <v>50</v>
      </c>
      <c r="D16" s="44" t="n">
        <f aca="false">IF($A16="","",C16-B16)</f>
        <v>10</v>
      </c>
      <c r="E16" s="45" t="n">
        <f aca="false">IF($A16="","",IF(B16&gt;=1,(C16-B16)/B16,"—"))</f>
        <v>0.25</v>
      </c>
    </row>
    <row r="17" customFormat="false" ht="15" hidden="false" customHeight="false" outlineLevel="0" collapsed="false">
      <c r="A17" s="12" t="str">
        <f aca="false">IF(Paramètres!A24="","",Paramètres!A24)</f>
        <v>Restaurants</v>
      </c>
      <c r="B17" s="13" t="n">
        <f aca="false">IF($A17="","",SUMIFS(Dépenses!$B$5:$B$504,Dépenses!$E$5:$E$504,$B$4,Dépenses!$C$5:$C$504,$A17))</f>
        <v>20</v>
      </c>
      <c r="C17" s="13" t="n">
        <f aca="false">IF($A17="","",SUMIFS(Dépenses!$B$5:$B$504,Dépenses!$E$5:$E$504,$B$5,Dépenses!$C$5:$C$504,$A17))</f>
        <v>30</v>
      </c>
      <c r="D17" s="44" t="n">
        <f aca="false">IF($A17="","",C17-B17)</f>
        <v>10</v>
      </c>
      <c r="E17" s="45" t="n">
        <f aca="false">IF($A17="","",IF(B17&gt;=1,(C17-B17)/B17,"—"))</f>
        <v>0.5</v>
      </c>
    </row>
    <row r="18" customFormat="false" ht="15" hidden="false" customHeight="false" outlineLevel="0" collapsed="false">
      <c r="A18" s="12" t="str">
        <f aca="false">IF(Paramètres!A25="","",Paramètres!A25)</f>
        <v>Divertissement</v>
      </c>
      <c r="B18" s="13" t="n">
        <f aca="false">IF($A18="","",SUMIFS(Dépenses!$B$5:$B$504,Dépenses!$E$5:$E$504,$B$4,Dépenses!$C$5:$C$504,$A18))</f>
        <v>0</v>
      </c>
      <c r="C18" s="13" t="n">
        <f aca="false">IF($A18="","",SUMIFS(Dépenses!$B$5:$B$504,Dépenses!$E$5:$E$504,$B$5,Dépenses!$C$5:$C$504,$A18))</f>
        <v>0</v>
      </c>
      <c r="D18" s="44" t="n">
        <f aca="false">IF($A18="","",C18-B18)</f>
        <v>0</v>
      </c>
      <c r="E18" s="45" t="str">
        <f aca="false">IF($A18="","",IF(B18&gt;=1,(C18-B18)/B18,"—"))</f>
        <v>—</v>
      </c>
    </row>
    <row r="19" customFormat="false" ht="15" hidden="false" customHeight="false" outlineLevel="0" collapsed="false">
      <c r="A19" s="12" t="str">
        <f aca="false">IF(Paramètres!A26="","",Paramètres!A26)</f>
        <v>Achats</v>
      </c>
      <c r="B19" s="13" t="n">
        <f aca="false">IF($A19="","",SUMIFS(Dépenses!$B$5:$B$504,Dépenses!$E$5:$E$504,$B$4,Dépenses!$C$5:$C$504,$A19))</f>
        <v>0</v>
      </c>
      <c r="C19" s="13" t="n">
        <f aca="false">IF($A19="","",SUMIFS(Dépenses!$B$5:$B$504,Dépenses!$E$5:$E$504,$B$5,Dépenses!$C$5:$C$504,$A19))</f>
        <v>80</v>
      </c>
      <c r="D19" s="44" t="n">
        <f aca="false">IF($A19="","",C19-B19)</f>
        <v>80</v>
      </c>
      <c r="E19" s="45" t="str">
        <f aca="false">IF($A19="","",IF(B19&gt;=1,(C19-B19)/B19,"—"))</f>
        <v>—</v>
      </c>
    </row>
    <row r="20" customFormat="false" ht="15" hidden="false" customHeight="false" outlineLevel="0" collapsed="false">
      <c r="A20" s="12" t="str">
        <f aca="false">IF(Paramètres!A27="","",Paramètres!A27)</f>
        <v>Argent de poche</v>
      </c>
      <c r="B20" s="13" t="n">
        <f aca="false">IF($A20="","",SUMIFS(Dépenses!$B$5:$B$504,Dépenses!$E$5:$E$504,$B$4,Dépenses!$C$5:$C$504,$A20))</f>
        <v>0</v>
      </c>
      <c r="C20" s="13" t="n">
        <f aca="false">IF($A20="","",SUMIFS(Dépenses!$B$5:$B$504,Dépenses!$E$5:$E$504,$B$5,Dépenses!$C$5:$C$504,$A20))</f>
        <v>0</v>
      </c>
      <c r="D20" s="44" t="n">
        <f aca="false">IF($A20="","",C20-B20)</f>
        <v>0</v>
      </c>
      <c r="E20" s="45" t="str">
        <f aca="false">IF($A20="","",IF(B20&gt;=1,(C20-B20)/B20,"—"))</f>
        <v>—</v>
      </c>
    </row>
    <row r="21" customFormat="false" ht="15" hidden="false" customHeight="false" outlineLevel="0" collapsed="false">
      <c r="A21" s="12" t="str">
        <f aca="false">IF(Paramètres!A28="","",Paramètres!A28)</f>
        <v>Santé</v>
      </c>
      <c r="B21" s="13" t="n">
        <f aca="false">IF($A21="","",SUMIFS(Dépenses!$B$5:$B$504,Dépenses!$E$5:$E$504,$B$4,Dépenses!$C$5:$C$504,$A21))</f>
        <v>0</v>
      </c>
      <c r="C21" s="13" t="n">
        <f aca="false">IF($A21="","",SUMIFS(Dépenses!$B$5:$B$504,Dépenses!$E$5:$E$504,$B$5,Dépenses!$C$5:$C$504,$A21))</f>
        <v>0</v>
      </c>
      <c r="D21" s="44" t="n">
        <f aca="false">IF($A21="","",C21-B21)</f>
        <v>0</v>
      </c>
      <c r="E21" s="45" t="str">
        <f aca="false">IF($A21="","",IF(B21&gt;=1,(C21-B21)/B21,"—"))</f>
        <v>—</v>
      </c>
    </row>
    <row r="22" customFormat="false" ht="15" hidden="false" customHeight="false" outlineLevel="0" collapsed="false">
      <c r="A22" s="12" t="str">
        <f aca="false">IF(Paramètres!A29="","",Paramètres!A29)</f>
        <v>Général</v>
      </c>
      <c r="B22" s="13" t="n">
        <f aca="false">IF($A22="","",SUMIFS(Dépenses!$B$5:$B$504,Dépenses!$E$5:$E$504,$B$4,Dépenses!$C$5:$C$504,$A22))</f>
        <v>0</v>
      </c>
      <c r="C22" s="13" t="n">
        <f aca="false">IF($A22="","",SUMIFS(Dépenses!$B$5:$B$504,Dépenses!$E$5:$E$504,$B$5,Dépenses!$C$5:$C$504,$A22))</f>
        <v>0</v>
      </c>
      <c r="D22" s="44" t="n">
        <f aca="false">IF($A22="","",C22-B22)</f>
        <v>0</v>
      </c>
      <c r="E22" s="45" t="str">
        <f aca="false">IF($A22="","",IF(B22&gt;=1,(C22-B22)/B22,"—"))</f>
        <v>—</v>
      </c>
    </row>
    <row r="23" customFormat="false" ht="15" hidden="false" customHeight="false" outlineLevel="0" collapsed="false">
      <c r="A23" s="12" t="str">
        <f aca="false">IF(Paramètres!A30="","",Paramètres!A30)</f>
        <v/>
      </c>
      <c r="B23" s="13" t="str">
        <f aca="false">IF($A23="","",SUMIFS(Dépenses!$B$5:$B$504,Dépenses!$E$5:$E$504,$B$4,Dépenses!$C$5:$C$504,$A23))</f>
        <v/>
      </c>
      <c r="C23" s="13" t="str">
        <f aca="false">IF($A23="","",SUMIFS(Dépenses!$B$5:$B$504,Dépenses!$E$5:$E$504,$B$5,Dépenses!$C$5:$C$504,$A23))</f>
        <v/>
      </c>
      <c r="D23" s="44" t="str">
        <f aca="false">IF($A23="","",C23-B23)</f>
        <v/>
      </c>
      <c r="E23" s="45" t="str">
        <f aca="false">IF($A23="","",IF(B23&gt;=1,(C23-B23)/B23,"—"))</f>
        <v/>
      </c>
    </row>
    <row r="24" customFormat="false" ht="15" hidden="false" customHeight="false" outlineLevel="0" collapsed="false">
      <c r="A24" s="12" t="str">
        <f aca="false">IF(Paramètres!A31="","",Paramètres!A31)</f>
        <v/>
      </c>
      <c r="B24" s="13" t="str">
        <f aca="false">IF($A24="","",SUMIFS(Dépenses!$B$5:$B$504,Dépenses!$E$5:$E$504,$B$4,Dépenses!$C$5:$C$504,$A24))</f>
        <v/>
      </c>
      <c r="C24" s="13" t="str">
        <f aca="false">IF($A24="","",SUMIFS(Dépenses!$B$5:$B$504,Dépenses!$E$5:$E$504,$B$5,Dépenses!$C$5:$C$504,$A24))</f>
        <v/>
      </c>
      <c r="D24" s="44" t="str">
        <f aca="false">IF($A24="","",C24-B24)</f>
        <v/>
      </c>
      <c r="E24" s="45" t="str">
        <f aca="false">IF($A24="","",IF(B24&gt;=1,(C24-B24)/B24,"—"))</f>
        <v/>
      </c>
    </row>
    <row r="25" customFormat="false" ht="15" hidden="false" customHeight="false" outlineLevel="0" collapsed="false">
      <c r="A25" s="12" t="str">
        <f aca="false">IF(Paramètres!A32="","",Paramètres!A32)</f>
        <v/>
      </c>
      <c r="B25" s="13" t="str">
        <f aca="false">IF($A25="","",SUMIFS(Dépenses!$B$5:$B$504,Dépenses!$E$5:$E$504,$B$4,Dépenses!$C$5:$C$504,$A25))</f>
        <v/>
      </c>
      <c r="C25" s="13" t="str">
        <f aca="false">IF($A25="","",SUMIFS(Dépenses!$B$5:$B$504,Dépenses!$E$5:$E$504,$B$5,Dépenses!$C$5:$C$504,$A25))</f>
        <v/>
      </c>
      <c r="D25" s="44" t="str">
        <f aca="false">IF($A25="","",C25-B25)</f>
        <v/>
      </c>
      <c r="E25" s="45" t="str">
        <f aca="false">IF($A25="","",IF(B25&gt;=1,(C25-B25)/B25,"—"))</f>
        <v/>
      </c>
    </row>
    <row r="26" customFormat="false" ht="15" hidden="false" customHeight="false" outlineLevel="0" collapsed="false">
      <c r="A26" s="12" t="str">
        <f aca="false">IF(Paramètres!A33="","",Paramètres!A33)</f>
        <v/>
      </c>
      <c r="B26" s="13" t="str">
        <f aca="false">IF($A26="","",SUMIFS(Dépenses!$B$5:$B$504,Dépenses!$E$5:$E$504,$B$4,Dépenses!$C$5:$C$504,$A26))</f>
        <v/>
      </c>
      <c r="C26" s="13" t="str">
        <f aca="false">IF($A26="","",SUMIFS(Dépenses!$B$5:$B$504,Dépenses!$E$5:$E$504,$B$5,Dépenses!$C$5:$C$504,$A26))</f>
        <v/>
      </c>
      <c r="D26" s="44" t="str">
        <f aca="false">IF($A26="","",C26-B26)</f>
        <v/>
      </c>
      <c r="E26" s="45" t="str">
        <f aca="false">IF($A26="","",IF(B26&gt;=1,(C26-B26)/B26,"—"))</f>
        <v/>
      </c>
    </row>
    <row r="27" customFormat="false" ht="15" hidden="false" customHeight="false" outlineLevel="0" collapsed="false">
      <c r="A27" s="12" t="str">
        <f aca="false">IF(Paramètres!A34="","",Paramètres!A34)</f>
        <v/>
      </c>
      <c r="B27" s="13" t="str">
        <f aca="false">IF($A27="","",SUMIFS(Dépenses!$B$5:$B$504,Dépenses!$E$5:$E$504,$B$4,Dépenses!$C$5:$C$504,$A27))</f>
        <v/>
      </c>
      <c r="C27" s="13" t="str">
        <f aca="false">IF($A27="","",SUMIFS(Dépenses!$B$5:$B$504,Dépenses!$E$5:$E$504,$B$5,Dépenses!$C$5:$C$504,$A27))</f>
        <v/>
      </c>
      <c r="D27" s="44" t="str">
        <f aca="false">IF($A27="","",C27-B27)</f>
        <v/>
      </c>
      <c r="E27" s="45" t="str">
        <f aca="false">IF($A27="","",IF(B27&gt;=1,(C27-B27)/B27,"—"))</f>
        <v/>
      </c>
    </row>
    <row r="28" customFormat="false" ht="15" hidden="false" customHeight="false" outlineLevel="0" collapsed="false">
      <c r="A28" s="12" t="str">
        <f aca="false">IF(Paramètres!A35="","",Paramètres!A35)</f>
        <v/>
      </c>
      <c r="B28" s="13" t="str">
        <f aca="false">IF($A28="","",SUMIFS(Dépenses!$B$5:$B$504,Dépenses!$E$5:$E$504,$B$4,Dépenses!$C$5:$C$504,$A28))</f>
        <v/>
      </c>
      <c r="C28" s="13" t="str">
        <f aca="false">IF($A28="","",SUMIFS(Dépenses!$B$5:$B$504,Dépenses!$E$5:$E$504,$B$5,Dépenses!$C$5:$C$504,$A28))</f>
        <v/>
      </c>
      <c r="D28" s="44" t="str">
        <f aca="false">IF($A28="","",C28-B28)</f>
        <v/>
      </c>
      <c r="E28" s="45" t="str">
        <f aca="false">IF($A28="","",IF(B28&gt;=1,(C28-B28)/B28,"—"))</f>
        <v/>
      </c>
    </row>
    <row r="29" customFormat="false" ht="15" hidden="false" customHeight="false" outlineLevel="0" collapsed="false">
      <c r="A29" s="12" t="str">
        <f aca="false">IF(Paramètres!A36="","",Paramètres!A36)</f>
        <v/>
      </c>
      <c r="B29" s="13" t="str">
        <f aca="false">IF($A29="","",SUMIFS(Dépenses!$B$5:$B$504,Dépenses!$E$5:$E$504,$B$4,Dépenses!$C$5:$C$504,$A29))</f>
        <v/>
      </c>
      <c r="C29" s="13" t="str">
        <f aca="false">IF($A29="","",SUMIFS(Dépenses!$B$5:$B$504,Dépenses!$E$5:$E$504,$B$5,Dépenses!$C$5:$C$504,$A29))</f>
        <v/>
      </c>
      <c r="D29" s="44" t="str">
        <f aca="false">IF($A29="","",C29-B29)</f>
        <v/>
      </c>
      <c r="E29" s="45" t="str">
        <f aca="false">IF($A29="","",IF(B29&gt;=1,(C29-B29)/B29,"—"))</f>
        <v/>
      </c>
    </row>
    <row r="30" customFormat="false" ht="15" hidden="false" customHeight="false" outlineLevel="0" collapsed="false">
      <c r="A30" s="12" t="str">
        <f aca="false">IF(Paramètres!A37="","",Paramètres!A37)</f>
        <v/>
      </c>
      <c r="B30" s="13" t="str">
        <f aca="false">IF($A30="","",SUMIFS(Dépenses!$B$5:$B$504,Dépenses!$E$5:$E$504,$B$4,Dépenses!$C$5:$C$504,$A30))</f>
        <v/>
      </c>
      <c r="C30" s="13" t="str">
        <f aca="false">IF($A30="","",SUMIFS(Dépenses!$B$5:$B$504,Dépenses!$E$5:$E$504,$B$5,Dépenses!$C$5:$C$504,$A30))</f>
        <v/>
      </c>
      <c r="D30" s="44" t="str">
        <f aca="false">IF($A30="","",C30-B30)</f>
        <v/>
      </c>
      <c r="E30" s="45" t="str">
        <f aca="false">IF($A30="","",IF(B30&gt;=1,(C30-B30)/B30,"—"))</f>
        <v/>
      </c>
    </row>
  </sheetData>
  <dataValidations count="1">
    <dataValidation allowBlank="false" errorStyle="stop" operator="between" showDropDown="false" showErrorMessage="false" showInputMessage="false" sqref="B4:B5" type="list">
      <formula1>Mois!$A$5:$A$40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25" t="s">
        <v>130</v>
      </c>
    </row>
    <row r="2" customFormat="false" ht="15" hidden="false" customHeight="false" outlineLevel="0" collapsed="false">
      <c r="A2" s="3" t="s">
        <v>131</v>
      </c>
    </row>
    <row r="3" customFormat="false" ht="15" hidden="false" customHeight="false" outlineLevel="0" collapsed="false">
      <c r="A3" s="2"/>
    </row>
    <row r="4" customFormat="false" ht="26.85" hidden="false" customHeight="false" outlineLevel="0" collapsed="false">
      <c r="A4" s="46" t="s">
        <v>132</v>
      </c>
    </row>
    <row r="5" customFormat="false" ht="26.85" hidden="false" customHeight="false" outlineLevel="0" collapsed="false">
      <c r="A5" s="46" t="s">
        <v>133</v>
      </c>
    </row>
    <row r="6" customFormat="false" ht="26.85" hidden="false" customHeight="false" outlineLevel="0" collapsed="false">
      <c r="A6" s="46" t="s">
        <v>134</v>
      </c>
    </row>
    <row r="7" customFormat="false" ht="15" hidden="false" customHeight="false" outlineLevel="0" collapsed="false">
      <c r="A7" s="46" t="s">
        <v>135</v>
      </c>
    </row>
    <row r="8" customFormat="false" ht="26.85" hidden="false" customHeight="false" outlineLevel="0" collapsed="false">
      <c r="A8" s="46" t="s">
        <v>136</v>
      </c>
    </row>
    <row r="9" customFormat="false" ht="26.85" hidden="false" customHeight="false" outlineLevel="0" collapsed="false">
      <c r="A9" s="46" t="s">
        <v>137</v>
      </c>
    </row>
    <row r="10" customFormat="false" ht="26.85" hidden="false" customHeight="false" outlineLevel="0" collapsed="false">
      <c r="A10" s="46" t="s">
        <v>138</v>
      </c>
    </row>
    <row r="11" customFormat="false" ht="15" hidden="false" customHeight="false" outlineLevel="0" collapsed="false">
      <c r="A11" s="46" t="s">
        <v>139</v>
      </c>
    </row>
    <row r="12" customFormat="false" ht="26.85" hidden="false" customHeight="false" outlineLevel="0" collapsed="false">
      <c r="A12" s="46" t="s">
        <v>140</v>
      </c>
    </row>
    <row r="13" customFormat="false" ht="15" hidden="false" customHeight="false" outlineLevel="0" collapsed="false">
      <c r="A13" s="46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2026-10-16T21:40:48Z</dcterms:created>
  <dc:creator>openpyxl</dc:creator>
  <dc:description/>
  <dc:language>en-US</dc:language>
  <cp:lastModifiedBy/>
  <dcterms:modified xsi:type="dcterms:W3CDTF">2026-10-16T21:40:51Z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